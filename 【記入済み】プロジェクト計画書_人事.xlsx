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shenqingyuan/Desktop/"/>
    </mc:Choice>
  </mc:AlternateContent>
  <xr:revisionPtr revIDLastSave="0" documentId="13_ncr:1_{2FD0940C-099B-DB46-A0CB-5F2651E6B9B7}" xr6:coauthVersionLast="47" xr6:coauthVersionMax="47" xr10:uidLastSave="{00000000-0000-0000-0000-000000000000}"/>
  <bookViews>
    <workbookView xWindow="0" yWindow="680" windowWidth="29400" windowHeight="17260" activeTab="2" xr2:uid="{00000000-000D-0000-FFFF-FFFF00000000}"/>
  </bookViews>
  <sheets>
    <sheet name="プロジェクト計画書" sheetId="1" r:id="rId1"/>
    <sheet name="プロジェクト管理表" sheetId="2" r:id="rId2"/>
    <sheet name="プロジェクト報告書" sheetId="3" r:id="rId3"/>
  </sheets>
  <definedNames>
    <definedName name="_xlnm.Print_Area" localSheetId="1">プロジェクト管理表!$B$2:$T$56</definedName>
    <definedName name="_xlnm.Print_Titles" localSheetId="1">プロジェクト管理表!$23:$23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33" i="1" l="1"/>
  <c r="S27" i="2"/>
  <c r="I27" i="2"/>
  <c r="J27" i="2"/>
  <c r="K27" i="2"/>
  <c r="L27" i="2"/>
  <c r="M27" i="2"/>
  <c r="N27" i="2"/>
  <c r="O27" i="2"/>
  <c r="P27" i="2"/>
  <c r="Q27" i="2"/>
  <c r="R27" i="2"/>
  <c r="H27" i="2"/>
  <c r="H26" i="2"/>
  <c r="S26" i="2"/>
  <c r="R26" i="2"/>
  <c r="Q26" i="2"/>
  <c r="P26" i="2"/>
  <c r="O26" i="2"/>
  <c r="N26" i="2"/>
  <c r="M26" i="2"/>
  <c r="L26" i="2"/>
  <c r="K26" i="2"/>
  <c r="J26" i="2"/>
  <c r="I26" i="2"/>
  <c r="T26" i="2" l="1"/>
  <c r="B91" i="3"/>
  <c r="B90" i="3"/>
  <c r="B89" i="3"/>
  <c r="B88" i="3"/>
  <c r="B87" i="3"/>
  <c r="B86" i="3"/>
  <c r="B85" i="3"/>
  <c r="B84" i="3"/>
  <c r="B83" i="3"/>
  <c r="B82" i="3"/>
  <c r="G50" i="3"/>
  <c r="G49" i="3"/>
  <c r="G48" i="3"/>
  <c r="G47" i="3"/>
  <c r="G46" i="3"/>
  <c r="G45" i="3"/>
  <c r="G44" i="3"/>
  <c r="G43" i="3"/>
  <c r="G42" i="3"/>
  <c r="G41" i="3"/>
  <c r="G42" i="1"/>
  <c r="G41" i="1"/>
  <c r="G40" i="1"/>
  <c r="G39" i="1"/>
  <c r="G38" i="1"/>
  <c r="G37" i="1"/>
  <c r="G36" i="1"/>
  <c r="G35" i="1"/>
  <c r="G34" i="1"/>
  <c r="G33" i="1"/>
  <c r="G6" i="3" l="1"/>
  <c r="R82" i="3"/>
  <c r="X22" i="3"/>
  <c r="Y4" i="3" l="1"/>
  <c r="G4" i="3"/>
  <c r="G5" i="3"/>
  <c r="T41" i="2"/>
  <c r="R90" i="3" l="1"/>
  <c r="M41" i="1" l="1"/>
  <c r="M49" i="3" s="1"/>
  <c r="H90" i="3" s="1"/>
  <c r="J41" i="1"/>
  <c r="J49" i="3" s="1"/>
  <c r="E90" i="3" s="1"/>
  <c r="T49" i="2"/>
  <c r="Q49" i="3" s="1"/>
  <c r="T48" i="2"/>
  <c r="O41" i="1" s="1"/>
  <c r="O49" i="3" s="1"/>
  <c r="H2" i="2"/>
  <c r="I2" i="2" s="1"/>
  <c r="H23" i="2"/>
  <c r="J2" i="2" l="1"/>
  <c r="K2" i="2" s="1"/>
  <c r="L2" i="2" s="1"/>
  <c r="M2" i="2" s="1"/>
  <c r="N2" i="2" s="1"/>
  <c r="O2" i="2" s="1"/>
  <c r="P2" i="2" s="1"/>
  <c r="Q2" i="2" s="1"/>
  <c r="R2" i="2" s="1"/>
  <c r="S2" i="2" s="1"/>
  <c r="R83" i="3"/>
  <c r="R84" i="3"/>
  <c r="R85" i="3"/>
  <c r="R86" i="3"/>
  <c r="R87" i="3"/>
  <c r="R88" i="3"/>
  <c r="R89" i="3"/>
  <c r="R91" i="3"/>
  <c r="X21" i="3"/>
  <c r="X20" i="3"/>
  <c r="T50" i="2" l="1"/>
  <c r="O42" i="1" s="1"/>
  <c r="O50" i="3" s="1"/>
  <c r="T46" i="2"/>
  <c r="T40" i="2"/>
  <c r="O37" i="1" s="1"/>
  <c r="O45" i="3" s="1"/>
  <c r="T38" i="2"/>
  <c r="O36" i="1" s="1"/>
  <c r="O44" i="3" s="1"/>
  <c r="M42" i="1"/>
  <c r="M50" i="3" s="1"/>
  <c r="H91" i="3" s="1"/>
  <c r="M40" i="1"/>
  <c r="M48" i="3" s="1"/>
  <c r="H89" i="3" s="1"/>
  <c r="M39" i="1"/>
  <c r="M47" i="3" s="1"/>
  <c r="H88" i="3" s="1"/>
  <c r="M38" i="1"/>
  <c r="M46" i="3" s="1"/>
  <c r="H87" i="3" s="1"/>
  <c r="M37" i="1"/>
  <c r="M45" i="3" s="1"/>
  <c r="H86" i="3" s="1"/>
  <c r="M36" i="1"/>
  <c r="M44" i="3" s="1"/>
  <c r="H85" i="3" s="1"/>
  <c r="M35" i="1"/>
  <c r="M43" i="3" s="1"/>
  <c r="H84" i="3" s="1"/>
  <c r="M34" i="1"/>
  <c r="M42" i="3" s="1"/>
  <c r="H83" i="3" s="1"/>
  <c r="J42" i="1"/>
  <c r="J50" i="3" s="1"/>
  <c r="E91" i="3" s="1"/>
  <c r="J40" i="1"/>
  <c r="J48" i="3" s="1"/>
  <c r="E89" i="3" s="1"/>
  <c r="J39" i="1"/>
  <c r="J47" i="3" s="1"/>
  <c r="E88" i="3" s="1"/>
  <c r="J38" i="1"/>
  <c r="J46" i="3" s="1"/>
  <c r="E87" i="3" s="1"/>
  <c r="J37" i="1"/>
  <c r="J45" i="3" s="1"/>
  <c r="E86" i="3" s="1"/>
  <c r="J36" i="1"/>
  <c r="J44" i="3" s="1"/>
  <c r="E85" i="3" s="1"/>
  <c r="T39" i="2"/>
  <c r="Q44" i="3" s="1"/>
  <c r="J35" i="1"/>
  <c r="J43" i="3" s="1"/>
  <c r="E84" i="3" s="1"/>
  <c r="T32" i="2"/>
  <c r="O33" i="1" s="1"/>
  <c r="O41" i="3" s="1"/>
  <c r="J34" i="1"/>
  <c r="J42" i="3" s="1"/>
  <c r="E83" i="3" s="1"/>
  <c r="M33" i="1"/>
  <c r="M41" i="3" s="1"/>
  <c r="H82" i="3" s="1"/>
  <c r="J41" i="3"/>
  <c r="E82" i="3" s="1"/>
  <c r="I23" i="2"/>
  <c r="J23" i="2" s="1"/>
  <c r="K23" i="2" s="1"/>
  <c r="L23" i="2" s="1"/>
  <c r="M23" i="2" s="1"/>
  <c r="N23" i="2" s="1"/>
  <c r="O23" i="2" s="1"/>
  <c r="P23" i="2" s="1"/>
  <c r="Q23" i="2" s="1"/>
  <c r="R23" i="2" s="1"/>
  <c r="S23" i="2" s="1"/>
  <c r="T36" i="2"/>
  <c r="O35" i="1" s="1"/>
  <c r="O43" i="3" s="1"/>
  <c r="T37" i="2"/>
  <c r="Q43" i="3" s="1"/>
  <c r="Q45" i="3"/>
  <c r="T42" i="2"/>
  <c r="O38" i="1" s="1"/>
  <c r="O46" i="3" s="1"/>
  <c r="T43" i="2"/>
  <c r="Q46" i="3" s="1"/>
  <c r="T44" i="2"/>
  <c r="O39" i="1" s="1"/>
  <c r="O47" i="3" s="1"/>
  <c r="T45" i="2"/>
  <c r="Q47" i="3" s="1"/>
  <c r="T47" i="2"/>
  <c r="Q48" i="3" s="1"/>
  <c r="T51" i="2"/>
  <c r="Q50" i="3" s="1"/>
  <c r="H29" i="2"/>
  <c r="H31" i="2" s="1"/>
  <c r="I29" i="2"/>
  <c r="I31" i="2" s="1"/>
  <c r="J29" i="2"/>
  <c r="J31" i="2" s="1"/>
  <c r="K29" i="2"/>
  <c r="K31" i="2" s="1"/>
  <c r="L29" i="2"/>
  <c r="L31" i="2" s="1"/>
  <c r="M29" i="2"/>
  <c r="M31" i="2" s="1"/>
  <c r="N29" i="2"/>
  <c r="N31" i="2" s="1"/>
  <c r="O29" i="2"/>
  <c r="O31" i="2" s="1"/>
  <c r="P29" i="2"/>
  <c r="P31" i="2" s="1"/>
  <c r="Q29" i="2"/>
  <c r="Q31" i="2" s="1"/>
  <c r="R29" i="2"/>
  <c r="R31" i="2" s="1"/>
  <c r="S29" i="2"/>
  <c r="S31" i="2" s="1"/>
  <c r="T25" i="2"/>
  <c r="O20" i="3" s="1"/>
  <c r="H28" i="2"/>
  <c r="H30" i="2" s="1"/>
  <c r="I28" i="2"/>
  <c r="I30" i="2" s="1"/>
  <c r="J28" i="2"/>
  <c r="J30" i="2" s="1"/>
  <c r="K28" i="2"/>
  <c r="K30" i="2" s="1"/>
  <c r="L28" i="2"/>
  <c r="L30" i="2" s="1"/>
  <c r="M28" i="2"/>
  <c r="N28" i="2"/>
  <c r="N30" i="2" s="1"/>
  <c r="O28" i="2"/>
  <c r="O30" i="2" s="1"/>
  <c r="P28" i="2"/>
  <c r="P30" i="2" s="1"/>
  <c r="Q28" i="2"/>
  <c r="Q30" i="2" s="1"/>
  <c r="R28" i="2"/>
  <c r="R30" i="2" s="1"/>
  <c r="S28" i="2"/>
  <c r="S30" i="2" s="1"/>
  <c r="T24" i="2"/>
  <c r="L20" i="3" s="1"/>
  <c r="T33" i="2"/>
  <c r="Q41" i="3" s="1"/>
  <c r="T34" i="2"/>
  <c r="O34" i="1" s="1"/>
  <c r="O42" i="3" s="1"/>
  <c r="T35" i="2"/>
  <c r="Q42" i="3" s="1"/>
  <c r="T27" i="2"/>
  <c r="O21" i="3" s="1"/>
  <c r="O40" i="1" l="1"/>
  <c r="O48" i="3" s="1"/>
  <c r="M30" i="2"/>
  <c r="T28" i="2"/>
  <c r="L21" i="1" s="1"/>
  <c r="L21" i="3"/>
  <c r="L20" i="1"/>
  <c r="L19" i="1"/>
  <c r="T29" i="2"/>
  <c r="L22" i="3" l="1"/>
  <c r="T30" i="2"/>
  <c r="L22" i="1" s="1"/>
  <c r="T31" i="2"/>
  <c r="O23" i="3" s="1"/>
  <c r="O22" i="3"/>
  <c r="L23" i="3" l="1"/>
</calcChain>
</file>

<file path=xl/sharedStrings.xml><?xml version="1.0" encoding="utf-8"?>
<sst xmlns="http://schemas.openxmlformats.org/spreadsheetml/2006/main" count="212" uniqueCount="123">
  <si>
    <t>実績</t>
    <rPh sb="0" eb="2">
      <t>ジッセキ</t>
    </rPh>
    <phoneticPr fontId="2"/>
  </si>
  <si>
    <t>計画</t>
    <rPh sb="0" eb="2">
      <t>ケイカク</t>
    </rPh>
    <phoneticPr fontId="2"/>
  </si>
  <si>
    <t>合計</t>
    <rPh sb="0" eb="2">
      <t>ゴウケイ</t>
    </rPh>
    <phoneticPr fontId="2"/>
  </si>
  <si>
    <t>PPM</t>
    <phoneticPr fontId="2"/>
  </si>
  <si>
    <t>PMO</t>
    <phoneticPr fontId="2"/>
  </si>
  <si>
    <t>PM</t>
    <phoneticPr fontId="2"/>
  </si>
  <si>
    <t>CREW①</t>
    <phoneticPr fontId="2"/>
  </si>
  <si>
    <t>CREW②</t>
    <phoneticPr fontId="2"/>
  </si>
  <si>
    <t>CREW③</t>
    <phoneticPr fontId="2"/>
  </si>
  <si>
    <t>CREW④</t>
    <phoneticPr fontId="2"/>
  </si>
  <si>
    <t>CREW⑤</t>
    <phoneticPr fontId="2"/>
  </si>
  <si>
    <t>収支</t>
    <rPh sb="0" eb="2">
      <t>シュウシ</t>
    </rPh>
    <phoneticPr fontId="2"/>
  </si>
  <si>
    <t>工数</t>
    <rPh sb="0" eb="2">
      <t>コウスウ</t>
    </rPh>
    <phoneticPr fontId="2"/>
  </si>
  <si>
    <t>新規作成日</t>
    <rPh sb="0" eb="2">
      <t>シンキ</t>
    </rPh>
    <rPh sb="2" eb="4">
      <t>サクセイ</t>
    </rPh>
    <rPh sb="4" eb="5">
      <t>ビ</t>
    </rPh>
    <phoneticPr fontId="2"/>
  </si>
  <si>
    <t>更新日</t>
    <rPh sb="0" eb="3">
      <t>コウシンビ</t>
    </rPh>
    <phoneticPr fontId="2"/>
  </si>
  <si>
    <t>新規作成者</t>
    <rPh sb="0" eb="2">
      <t>シンキ</t>
    </rPh>
    <rPh sb="2" eb="4">
      <t>サクセイ</t>
    </rPh>
    <rPh sb="4" eb="5">
      <t>シャ</t>
    </rPh>
    <phoneticPr fontId="2"/>
  </si>
  <si>
    <t>更新者</t>
    <rPh sb="0" eb="3">
      <t>コウシンシャ</t>
    </rPh>
    <phoneticPr fontId="2"/>
  </si>
  <si>
    <t>プロジェクト名称</t>
    <rPh sb="6" eb="8">
      <t>メイショウ</t>
    </rPh>
    <phoneticPr fontId="2"/>
  </si>
  <si>
    <t>プロジェクト区分</t>
    <rPh sb="6" eb="8">
      <t>クブン</t>
    </rPh>
    <phoneticPr fontId="2"/>
  </si>
  <si>
    <t>顧客・協力会社</t>
    <rPh sb="0" eb="2">
      <t>コキャク</t>
    </rPh>
    <rPh sb="3" eb="5">
      <t>キョウリョク</t>
    </rPh>
    <rPh sb="5" eb="7">
      <t>ガイシャ</t>
    </rPh>
    <phoneticPr fontId="2"/>
  </si>
  <si>
    <t>①売上</t>
    <rPh sb="1" eb="3">
      <t>ウリアゲ</t>
    </rPh>
    <phoneticPr fontId="2"/>
  </si>
  <si>
    <t>②経費</t>
    <rPh sb="1" eb="3">
      <t>ケイヒ</t>
    </rPh>
    <phoneticPr fontId="2"/>
  </si>
  <si>
    <t>③損益</t>
    <rPh sb="1" eb="3">
      <t>ソンエキ</t>
    </rPh>
    <phoneticPr fontId="2"/>
  </si>
  <si>
    <t>④損益率</t>
    <rPh sb="1" eb="3">
      <t>ソンエキ</t>
    </rPh>
    <rPh sb="3" eb="4">
      <t>リツ</t>
    </rPh>
    <phoneticPr fontId="2"/>
  </si>
  <si>
    <t>PD</t>
    <phoneticPr fontId="2"/>
  </si>
  <si>
    <t>氏名</t>
    <rPh sb="0" eb="2">
      <t>シメイ</t>
    </rPh>
    <phoneticPr fontId="2"/>
  </si>
  <si>
    <t>クラス</t>
    <phoneticPr fontId="2"/>
  </si>
  <si>
    <t>役割</t>
    <rPh sb="0" eb="2">
      <t>ヤクワリ</t>
    </rPh>
    <phoneticPr fontId="2"/>
  </si>
  <si>
    <t>審査担当者</t>
    <rPh sb="0" eb="2">
      <t>シンサ</t>
    </rPh>
    <rPh sb="2" eb="5">
      <t>タントウシャ</t>
    </rPh>
    <phoneticPr fontId="2"/>
  </si>
  <si>
    <t>審査結果</t>
    <rPh sb="0" eb="2">
      <t>シンサ</t>
    </rPh>
    <rPh sb="2" eb="4">
      <t>ケッカ</t>
    </rPh>
    <phoneticPr fontId="2"/>
  </si>
  <si>
    <t>審査日</t>
    <rPh sb="0" eb="2">
      <t>シンサ</t>
    </rPh>
    <rPh sb="2" eb="3">
      <t>ビ</t>
    </rPh>
    <phoneticPr fontId="2"/>
  </si>
  <si>
    <t>プロジェクトID</t>
    <phoneticPr fontId="2"/>
  </si>
  <si>
    <t>プロジェクト
フォルダ</t>
    <phoneticPr fontId="2"/>
  </si>
  <si>
    <t>■プロジェクト評価</t>
    <rPh sb="7" eb="9">
      <t>ヒョウカ</t>
    </rPh>
    <phoneticPr fontId="2"/>
  </si>
  <si>
    <t>評価日</t>
    <rPh sb="0" eb="2">
      <t>ヒョウカ</t>
    </rPh>
    <rPh sb="2" eb="3">
      <t>ビ</t>
    </rPh>
    <phoneticPr fontId="2"/>
  </si>
  <si>
    <t>評価者</t>
    <rPh sb="0" eb="2">
      <t>ヒョウカ</t>
    </rPh>
    <rPh sb="2" eb="3">
      <t>シャ</t>
    </rPh>
    <phoneticPr fontId="2"/>
  </si>
  <si>
    <t>②QCD評価点</t>
    <rPh sb="4" eb="7">
      <t>ヒョウカテン</t>
    </rPh>
    <phoneticPr fontId="2"/>
  </si>
  <si>
    <t>①
基準点</t>
    <rPh sb="2" eb="5">
      <t>キジュンテン</t>
    </rPh>
    <phoneticPr fontId="2"/>
  </si>
  <si>
    <t>③
貢献点</t>
    <rPh sb="2" eb="4">
      <t>コウケン</t>
    </rPh>
    <rPh sb="4" eb="5">
      <t>テン</t>
    </rPh>
    <phoneticPr fontId="2"/>
  </si>
  <si>
    <t>④
調整係数</t>
    <rPh sb="2" eb="4">
      <t>チョウセイ</t>
    </rPh>
    <rPh sb="4" eb="6">
      <t>ケイスウ</t>
    </rPh>
    <phoneticPr fontId="2"/>
  </si>
  <si>
    <t>評価</t>
    <rPh sb="0" eb="2">
      <t>ヒョウカ</t>
    </rPh>
    <phoneticPr fontId="2"/>
  </si>
  <si>
    <t>総評</t>
    <rPh sb="0" eb="2">
      <t>ソウヒョウ</t>
    </rPh>
    <phoneticPr fontId="2"/>
  </si>
  <si>
    <t>プロジェクトを通じて創出する価値・顧客満足は何か？</t>
    <rPh sb="22" eb="23">
      <t>ナニ</t>
    </rPh>
    <phoneticPr fontId="2"/>
  </si>
  <si>
    <t>③損益（①-②）</t>
    <rPh sb="1" eb="3">
      <t>ソンエキ</t>
    </rPh>
    <phoneticPr fontId="2"/>
  </si>
  <si>
    <t>④利益率（③/①）</t>
    <rPh sb="1" eb="3">
      <t>リエキ</t>
    </rPh>
    <rPh sb="3" eb="4">
      <t>リツ</t>
    </rPh>
    <phoneticPr fontId="2"/>
  </si>
  <si>
    <t>プロジェクト開始予定日</t>
    <rPh sb="6" eb="8">
      <t>カイシ</t>
    </rPh>
    <rPh sb="8" eb="11">
      <t>ヨテイビ</t>
    </rPh>
    <phoneticPr fontId="2"/>
  </si>
  <si>
    <t>プロジェクト終了予定日</t>
    <rPh sb="6" eb="8">
      <t>シュウリョウ</t>
    </rPh>
    <rPh sb="8" eb="11">
      <t>ヨテイビ</t>
    </rPh>
    <phoneticPr fontId="2"/>
  </si>
  <si>
    <t>プロジェクト期間</t>
    <rPh sb="6" eb="8">
      <t>キカン</t>
    </rPh>
    <phoneticPr fontId="2"/>
  </si>
  <si>
    <t>プロジェクトで行う問題解決は何か？</t>
    <rPh sb="7" eb="8">
      <t>オコナ</t>
    </rPh>
    <rPh sb="9" eb="11">
      <t>モンダイ</t>
    </rPh>
    <rPh sb="11" eb="13">
      <t>カイケツ</t>
    </rPh>
    <rPh sb="14" eb="15">
      <t>ナニ</t>
    </rPh>
    <phoneticPr fontId="2"/>
  </si>
  <si>
    <t>価値に応じた収益が得られるか、コストは最適か？</t>
    <rPh sb="0" eb="2">
      <t>カチ</t>
    </rPh>
    <rPh sb="3" eb="4">
      <t>オウ</t>
    </rPh>
    <rPh sb="6" eb="8">
      <t>シュウエキ</t>
    </rPh>
    <rPh sb="9" eb="10">
      <t>エ</t>
    </rPh>
    <rPh sb="19" eb="21">
      <t>サイテキ</t>
    </rPh>
    <phoneticPr fontId="2"/>
  </si>
  <si>
    <t>納期は最適か？</t>
    <rPh sb="0" eb="2">
      <t>ノウキ</t>
    </rPh>
    <rPh sb="3" eb="5">
      <t>サイテキ</t>
    </rPh>
    <phoneticPr fontId="2"/>
  </si>
  <si>
    <t>どのような経験・体験を通じて顧客満足を与えるか？</t>
    <rPh sb="5" eb="7">
      <t>ケイケン</t>
    </rPh>
    <rPh sb="8" eb="10">
      <t>タイケン</t>
    </rPh>
    <rPh sb="11" eb="12">
      <t>ツウ</t>
    </rPh>
    <rPh sb="14" eb="16">
      <t>コキャク</t>
    </rPh>
    <rPh sb="16" eb="18">
      <t>マンゾク</t>
    </rPh>
    <rPh sb="19" eb="20">
      <t>アタ</t>
    </rPh>
    <phoneticPr fontId="2"/>
  </si>
  <si>
    <t>どのように人材・時間を投入するか？</t>
    <rPh sb="5" eb="7">
      <t>ジンザイ</t>
    </rPh>
    <rPh sb="8" eb="10">
      <t>ジカン</t>
    </rPh>
    <rPh sb="11" eb="13">
      <t>トウニュウ</t>
    </rPh>
    <phoneticPr fontId="2"/>
  </si>
  <si>
    <t>役割</t>
    <rPh sb="0" eb="2">
      <t>ヤクワリ</t>
    </rPh>
    <phoneticPr fontId="2"/>
  </si>
  <si>
    <t>プロジェクトを通じて組織・個人の能力はどのように向上するか？</t>
    <rPh sb="7" eb="8">
      <t>ツウ</t>
    </rPh>
    <rPh sb="10" eb="12">
      <t>ソシキ</t>
    </rPh>
    <rPh sb="13" eb="15">
      <t>コジン</t>
    </rPh>
    <rPh sb="16" eb="18">
      <t>ノウリョク</t>
    </rPh>
    <rPh sb="24" eb="26">
      <t>コウジョウ</t>
    </rPh>
    <phoneticPr fontId="2"/>
  </si>
  <si>
    <t>備考</t>
    <rPh sb="0" eb="2">
      <t>ビコウ</t>
    </rPh>
    <phoneticPr fontId="2"/>
  </si>
  <si>
    <t>※工数は、プロジェクト期間の合計値</t>
    <phoneticPr fontId="2"/>
  </si>
  <si>
    <t>プロジェクトを通じて創出した価値・顧客満足は何か？</t>
    <rPh sb="22" eb="23">
      <t>ナニ</t>
    </rPh>
    <phoneticPr fontId="2"/>
  </si>
  <si>
    <t>予定</t>
    <rPh sb="0" eb="2">
      <t>ヨテイ</t>
    </rPh>
    <phoneticPr fontId="2"/>
  </si>
  <si>
    <t>実績</t>
    <rPh sb="0" eb="2">
      <t>ジッセキ</t>
    </rPh>
    <phoneticPr fontId="2"/>
  </si>
  <si>
    <t>価値に応じた収益が得られたか、コストは最適だったか？</t>
    <rPh sb="0" eb="2">
      <t>カチ</t>
    </rPh>
    <rPh sb="3" eb="4">
      <t>オウ</t>
    </rPh>
    <rPh sb="6" eb="8">
      <t>シュウエキ</t>
    </rPh>
    <rPh sb="9" eb="10">
      <t>エ</t>
    </rPh>
    <rPh sb="19" eb="21">
      <t>サイテキ</t>
    </rPh>
    <phoneticPr fontId="2"/>
  </si>
  <si>
    <t>納期は最適だったか？</t>
    <rPh sb="0" eb="2">
      <t>ノウキ</t>
    </rPh>
    <rPh sb="3" eb="5">
      <t>サイテキ</t>
    </rPh>
    <phoneticPr fontId="2"/>
  </si>
  <si>
    <t>プロジェクトで行った問題解決は何か？</t>
    <rPh sb="7" eb="8">
      <t>オコナ</t>
    </rPh>
    <rPh sb="10" eb="12">
      <t>モンダイ</t>
    </rPh>
    <rPh sb="12" eb="14">
      <t>カイケツ</t>
    </rPh>
    <rPh sb="15" eb="16">
      <t>ナニ</t>
    </rPh>
    <phoneticPr fontId="2"/>
  </si>
  <si>
    <t>どのような経験・体験を通じて顧客満足を与えたか？</t>
    <rPh sb="5" eb="7">
      <t>ケイケン</t>
    </rPh>
    <rPh sb="8" eb="10">
      <t>タイケン</t>
    </rPh>
    <rPh sb="11" eb="12">
      <t>ツウ</t>
    </rPh>
    <rPh sb="14" eb="16">
      <t>コキャク</t>
    </rPh>
    <rPh sb="16" eb="18">
      <t>マンゾク</t>
    </rPh>
    <rPh sb="19" eb="20">
      <t>アタ</t>
    </rPh>
    <phoneticPr fontId="2"/>
  </si>
  <si>
    <t>項目</t>
    <rPh sb="0" eb="2">
      <t>コウモク</t>
    </rPh>
    <phoneticPr fontId="2"/>
  </si>
  <si>
    <t>予定</t>
    <rPh sb="0" eb="2">
      <t>ヨテイ</t>
    </rPh>
    <phoneticPr fontId="2"/>
  </si>
  <si>
    <t>工数</t>
    <rPh sb="0" eb="2">
      <t>コウスウ</t>
    </rPh>
    <phoneticPr fontId="2"/>
  </si>
  <si>
    <t>プロジェクトを通じて組織・個人の能力はどのように向上したか？</t>
    <rPh sb="7" eb="8">
      <t>ツウ</t>
    </rPh>
    <rPh sb="10" eb="12">
      <t>ソシキ</t>
    </rPh>
    <rPh sb="13" eb="15">
      <t>コジン</t>
    </rPh>
    <rPh sb="16" eb="18">
      <t>ノウリョク</t>
    </rPh>
    <rPh sb="24" eb="26">
      <t>コウジョウ</t>
    </rPh>
    <phoneticPr fontId="2"/>
  </si>
  <si>
    <t>① 売上</t>
    <rPh sb="2" eb="4">
      <t>ウリアゲ</t>
    </rPh>
    <phoneticPr fontId="2"/>
  </si>
  <si>
    <t>② 経費</t>
    <rPh sb="2" eb="4">
      <t>ケイヒ</t>
    </rPh>
    <phoneticPr fontId="2"/>
  </si>
  <si>
    <t>③ 損益（①-②）</t>
    <rPh sb="2" eb="4">
      <t>ソンエキ</t>
    </rPh>
    <phoneticPr fontId="2"/>
  </si>
  <si>
    <t>④ 利益率（③/①）</t>
    <rPh sb="2" eb="4">
      <t>リエキ</t>
    </rPh>
    <rPh sb="4" eb="5">
      <t>リツ</t>
    </rPh>
    <phoneticPr fontId="2"/>
  </si>
  <si>
    <t>【注意】</t>
    <rPh sb="1" eb="3">
      <t>チュウイ</t>
    </rPh>
    <phoneticPr fontId="2"/>
  </si>
  <si>
    <t>グレーの網掛け部分は式が入っているので、入力しないでください。白い部分が入力項目です。</t>
    <rPh sb="4" eb="6">
      <t>アミカ</t>
    </rPh>
    <rPh sb="7" eb="9">
      <t>ブブン</t>
    </rPh>
    <rPh sb="10" eb="11">
      <t>シキ</t>
    </rPh>
    <rPh sb="12" eb="13">
      <t>ハイ</t>
    </rPh>
    <rPh sb="20" eb="22">
      <t>ニュウリョク</t>
    </rPh>
    <rPh sb="31" eb="32">
      <t>シロ</t>
    </rPh>
    <rPh sb="33" eb="35">
      <t>ブブン</t>
    </rPh>
    <rPh sb="36" eb="38">
      <t>ニュウリョク</t>
    </rPh>
    <rPh sb="38" eb="40">
      <t>コウモク</t>
    </rPh>
    <phoneticPr fontId="2"/>
  </si>
  <si>
    <t>氏名</t>
    <rPh sb="0" eb="2">
      <t>シメイ</t>
    </rPh>
    <phoneticPr fontId="2"/>
  </si>
  <si>
    <t>クラス</t>
    <phoneticPr fontId="2"/>
  </si>
  <si>
    <t>（①－②）</t>
    <phoneticPr fontId="2"/>
  </si>
  <si>
    <t>（③/①）</t>
    <phoneticPr fontId="2"/>
  </si>
  <si>
    <t>プロジェクト期間</t>
    <rPh sb="6" eb="8">
      <t>キカン</t>
    </rPh>
    <phoneticPr fontId="2"/>
  </si>
  <si>
    <t>添付資料</t>
    <rPh sb="0" eb="4">
      <t>テンプシリョウ</t>
    </rPh>
    <phoneticPr fontId="2"/>
  </si>
  <si>
    <t>添付資料</t>
    <rPh sb="0" eb="2">
      <t>テンプ</t>
    </rPh>
    <rPh sb="2" eb="4">
      <t>シリョウ</t>
    </rPh>
    <phoneticPr fontId="2"/>
  </si>
  <si>
    <t>プロジェクト概要</t>
    <rPh sb="6" eb="8">
      <t>ガイヨウ</t>
    </rPh>
    <phoneticPr fontId="2"/>
  </si>
  <si>
    <t>CREW⑥</t>
    <phoneticPr fontId="2"/>
  </si>
  <si>
    <t>-</t>
    <phoneticPr fontId="2"/>
  </si>
  <si>
    <t>備考</t>
    <rPh sb="0" eb="2">
      <t>ビコウ</t>
    </rPh>
    <phoneticPr fontId="2"/>
  </si>
  <si>
    <t>※工数は、プロジェクト期間の合計値</t>
    <phoneticPr fontId="2"/>
  </si>
  <si>
    <t>特記事項</t>
    <rPh sb="0" eb="2">
      <t>トッキ</t>
    </rPh>
    <rPh sb="2" eb="4">
      <t>ジコウ</t>
    </rPh>
    <phoneticPr fontId="2"/>
  </si>
  <si>
    <t>組織的に広く活用できる方法論や知財が蓄積されるか？</t>
    <rPh sb="0" eb="3">
      <t>ソシキテキ</t>
    </rPh>
    <rPh sb="4" eb="5">
      <t>ヒロ</t>
    </rPh>
    <rPh sb="6" eb="8">
      <t>カツヨウ</t>
    </rPh>
    <rPh sb="11" eb="14">
      <t>ホウホウロン</t>
    </rPh>
    <rPh sb="15" eb="17">
      <t>チザイ</t>
    </rPh>
    <rPh sb="18" eb="20">
      <t>チクセキ</t>
    </rPh>
    <phoneticPr fontId="2"/>
  </si>
  <si>
    <t>組織的に広く活用できる方法論や知財が蓄積されたか？</t>
    <phoneticPr fontId="2"/>
  </si>
  <si>
    <t>担当</t>
    <rPh sb="0" eb="2">
      <t>タントウ</t>
    </rPh>
    <phoneticPr fontId="2"/>
  </si>
  <si>
    <t>期間</t>
    <rPh sb="0" eb="2">
      <t>キカン</t>
    </rPh>
    <phoneticPr fontId="2"/>
  </si>
  <si>
    <t>タスク</t>
    <phoneticPr fontId="2"/>
  </si>
  <si>
    <t>①5万元以下:1、5～15万元:3、15万元以上:5</t>
    <rPh sb="2" eb="4">
      <t>マンゲン</t>
    </rPh>
    <rPh sb="4" eb="6">
      <t>イカ</t>
    </rPh>
    <rPh sb="14" eb="15">
      <t>ゲン</t>
    </rPh>
    <rPh sb="20" eb="22">
      <t>マンゲン</t>
    </rPh>
    <rPh sb="22" eb="24">
      <t>イジョウ</t>
    </rPh>
    <phoneticPr fontId="2"/>
  </si>
  <si>
    <t>-</t>
    <phoneticPr fontId="2"/>
  </si>
  <si>
    <t>①～④の「予定」と「実績」が異なった場合、原因は何か？</t>
    <rPh sb="5" eb="7">
      <t>ヨテイ</t>
    </rPh>
    <rPh sb="10" eb="12">
      <t>ジッセキ</t>
    </rPh>
    <rPh sb="14" eb="15">
      <t>コト</t>
    </rPh>
    <rPh sb="18" eb="20">
      <t>バアイ</t>
    </rPh>
    <rPh sb="21" eb="23">
      <t>ゲンイン</t>
    </rPh>
    <rPh sb="24" eb="25">
      <t>ナニ</t>
    </rPh>
    <phoneticPr fontId="2"/>
  </si>
  <si>
    <t>納期の「予定」と「実績」が異なった場合、原因は何か？</t>
    <rPh sb="0" eb="2">
      <t>ノウキ</t>
    </rPh>
    <rPh sb="4" eb="6">
      <t>ヨテイ</t>
    </rPh>
    <rPh sb="9" eb="11">
      <t>ジッセキ</t>
    </rPh>
    <rPh sb="13" eb="14">
      <t>コト</t>
    </rPh>
    <rPh sb="17" eb="19">
      <t>バアイ</t>
    </rPh>
    <rPh sb="20" eb="22">
      <t>ゲンイン</t>
    </rPh>
    <rPh sb="23" eb="24">
      <t>ナニ</t>
    </rPh>
    <phoneticPr fontId="2"/>
  </si>
  <si>
    <t>工数の「予定」と「実績」が異なった場合、原因は何か？</t>
    <rPh sb="0" eb="2">
      <t>コウスウ</t>
    </rPh>
    <rPh sb="4" eb="6">
      <t>ヨテイ</t>
    </rPh>
    <rPh sb="9" eb="11">
      <t>ジッセキ</t>
    </rPh>
    <rPh sb="13" eb="14">
      <t>コト</t>
    </rPh>
    <rPh sb="17" eb="19">
      <t>バアイ</t>
    </rPh>
    <rPh sb="20" eb="22">
      <t>ゲンイン</t>
    </rPh>
    <rPh sb="23" eb="24">
      <t>ナニ</t>
    </rPh>
    <phoneticPr fontId="2"/>
  </si>
  <si>
    <t>プロジェクトの振り返り</t>
    <rPh sb="7" eb="8">
      <t>フ</t>
    </rPh>
    <rPh sb="9" eb="10">
      <t>カエ</t>
    </rPh>
    <phoneticPr fontId="2"/>
  </si>
  <si>
    <t>もっと良いプロジェクトにするには、どうしたらよかったか？次のプロジェクトで更に取り組みたいことは何か？</t>
    <rPh sb="3" eb="4">
      <t>ヨ</t>
    </rPh>
    <rPh sb="28" eb="29">
      <t>ツギ</t>
    </rPh>
    <rPh sb="37" eb="38">
      <t>サラ</t>
    </rPh>
    <rPh sb="39" eb="40">
      <t>ト</t>
    </rPh>
    <rPh sb="41" eb="42">
      <t>ク</t>
    </rPh>
    <rPh sb="48" eb="49">
      <t>ナニ</t>
    </rPh>
    <phoneticPr fontId="2"/>
  </si>
  <si>
    <t>■プロジェクト審査結果</t>
    <rPh sb="7" eb="9">
      <t>シンサ</t>
    </rPh>
    <rPh sb="9" eb="11">
      <t>ケッカ</t>
    </rPh>
    <phoneticPr fontId="2"/>
  </si>
  <si>
    <t>プロジェクト名称</t>
    <phoneticPr fontId="2"/>
  </si>
  <si>
    <t>顧客</t>
    <phoneticPr fontId="2"/>
  </si>
  <si>
    <t>Q:
C:
D:</t>
    <phoneticPr fontId="2"/>
  </si>
  <si>
    <t>001-P-21-079</t>
    <phoneticPr fontId="2"/>
  </si>
  <si>
    <t>人事制度改善支援</t>
    <phoneticPr fontId="2"/>
  </si>
  <si>
    <t>Needs-in(顧客起点)</t>
  </si>
  <si>
    <t>周娴</t>
    <phoneticPr fontId="2"/>
  </si>
  <si>
    <t>山崎</t>
    <phoneticPr fontId="2"/>
  </si>
  <si>
    <t>沈庆元</t>
    <phoneticPr fontId="2"/>
  </si>
  <si>
    <t>王旭</t>
    <phoneticPr fontId="2"/>
  </si>
  <si>
    <t>・現状人事状況の把握、問題認識
・アドバイスを通じて、人事制度導入のサポート</t>
    <phoneticPr fontId="2"/>
  </si>
  <si>
    <t>専門家によるサポートより、全面的な現状分析及び効率的な制度設計</t>
    <phoneticPr fontId="2"/>
  </si>
  <si>
    <t>組織力・生産性の向上</t>
    <phoneticPr fontId="2"/>
  </si>
  <si>
    <t>お客様の現状問題の解決を向き合う人事制度の設計支援</t>
    <phoneticPr fontId="2"/>
  </si>
  <si>
    <t>資料確認・現状分析</t>
    <phoneticPr fontId="2"/>
  </si>
  <si>
    <t>等級制度のアドバイス</t>
    <phoneticPr fontId="2"/>
  </si>
  <si>
    <t>報酬制度のアドバイス</t>
    <phoneticPr fontId="2"/>
  </si>
  <si>
    <t>評価制度のアドバイス</t>
    <phoneticPr fontId="2"/>
  </si>
  <si>
    <t>沈</t>
  </si>
  <si>
    <t>沈</t>
    <phoneticPr fontId="2"/>
  </si>
  <si>
    <t>報告作成・中間報告</t>
    <phoneticPr fontId="2"/>
  </si>
  <si>
    <t>報告修正・最終報告</t>
    <phoneticPr fontId="2"/>
  </si>
  <si>
    <t>沈：
・PJ管理。
・BIツールの活用。
・人事制度設計の全般を身に着ける。
王：
・BIツールの活用及び数字分析力の向上。
・人事コンサル方法論を身に着ける。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</si>
</sst>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yyyy&quot;年&quot;m&quot;月&quot;;@"/>
    <numFmt numFmtId="177" formatCode="0.00_ "/>
    <numFmt numFmtId="178" formatCode="0.0%"/>
    <numFmt numFmtId="179" formatCode="yyyy&quot;年&quot;m&quot;月&quot;d&quot;日&quot;;@"/>
    <numFmt numFmtId="180" formatCode="0.0_ "/>
    <numFmt numFmtId="181" formatCode="[$-F800]dddd\,\ mmmm\ dd\,\ yyyy"/>
    <numFmt numFmtId="182" formatCode="0.0&quot;か月&quot;"/>
  </numFmts>
  <fonts count="12">
    <font>
      <sz val="11"/>
      <color theme="1"/>
      <name val="Meiryo UI"/>
      <family val="2"/>
      <charset val="128"/>
    </font>
    <font>
      <sz val="11"/>
      <color theme="1"/>
      <name val="Meiryo UI"/>
      <family val="2"/>
      <charset val="128"/>
    </font>
    <font>
      <sz val="6"/>
      <name val="Meiryo UI"/>
      <family val="2"/>
      <charset val="128"/>
    </font>
    <font>
      <sz val="11"/>
      <color theme="1"/>
      <name val="Meiryo UI"/>
      <family val="3"/>
      <charset val="128"/>
    </font>
    <font>
      <sz val="11"/>
      <color theme="0"/>
      <name val="Meiryo UI"/>
      <family val="3"/>
      <charset val="128"/>
    </font>
    <font>
      <sz val="11"/>
      <name val="Meiryo UI"/>
      <family val="3"/>
      <charset val="128"/>
    </font>
    <font>
      <b/>
      <sz val="11"/>
      <color theme="0"/>
      <name val="Meiryo UI"/>
      <family val="3"/>
      <charset val="128"/>
    </font>
    <font>
      <b/>
      <sz val="11"/>
      <name val="Meiryo UI"/>
      <family val="3"/>
      <charset val="128"/>
    </font>
    <font>
      <b/>
      <sz val="11"/>
      <color theme="1"/>
      <name val="Meiryo UI"/>
      <family val="3"/>
      <charset val="128"/>
    </font>
    <font>
      <sz val="11"/>
      <name val="Meiryo UI"/>
      <family val="2"/>
      <charset val="128"/>
    </font>
    <font>
      <sz val="11"/>
      <color theme="1"/>
      <name val="宋体"/>
      <family val="3"/>
      <charset val="134"/>
    </font>
    <font>
      <b/>
      <sz val="11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rgb="FFF79646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00"/>
        <bgColor indexed="64"/>
      </patternFill>
    </fill>
  </fills>
  <borders count="12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dotted">
        <color auto="1"/>
      </bottom>
      <diagonal/>
    </border>
    <border>
      <left/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/>
      <diagonal/>
    </border>
    <border>
      <left/>
      <right style="thin">
        <color auto="1"/>
      </right>
      <top style="dotted">
        <color auto="1"/>
      </top>
      <bottom/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/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dashed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/>
      <diagonal/>
    </border>
    <border>
      <left style="thin">
        <color auto="1"/>
      </left>
      <right/>
      <top style="medium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 style="thin">
        <color auto="1"/>
      </bottom>
      <diagonal/>
    </border>
    <border>
      <left/>
      <right/>
      <top style="thin">
        <color auto="1"/>
      </top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medium">
        <color auto="1"/>
      </top>
      <bottom style="dotted">
        <color auto="1"/>
      </bottom>
      <diagonal/>
    </border>
    <border>
      <left/>
      <right/>
      <top style="dotted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medium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medium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460">
    <xf numFmtId="0" fontId="0" fillId="0" borderId="0" xfId="0">
      <alignment vertical="center"/>
    </xf>
    <xf numFmtId="0" fontId="3" fillId="0" borderId="0" xfId="0" applyFont="1">
      <alignment vertical="center"/>
    </xf>
    <xf numFmtId="176" fontId="0" fillId="0" borderId="0" xfId="0" applyNumberFormat="1">
      <alignment vertical="center"/>
    </xf>
    <xf numFmtId="177" fontId="0" fillId="0" borderId="13" xfId="0" applyNumberFormat="1" applyBorder="1">
      <alignment vertical="center"/>
    </xf>
    <xf numFmtId="0" fontId="6" fillId="2" borderId="17" xfId="0" applyFont="1" applyFill="1" applyBorder="1">
      <alignment vertical="center"/>
    </xf>
    <xf numFmtId="0" fontId="6" fillId="2" borderId="18" xfId="0" applyFont="1" applyFill="1" applyBorder="1">
      <alignment vertical="center"/>
    </xf>
    <xf numFmtId="0" fontId="6" fillId="2" borderId="19" xfId="0" applyFont="1" applyFill="1" applyBorder="1">
      <alignment vertical="center"/>
    </xf>
    <xf numFmtId="0" fontId="7" fillId="0" borderId="18" xfId="0" applyFont="1" applyBorder="1">
      <alignment vertical="center"/>
    </xf>
    <xf numFmtId="177" fontId="0" fillId="0" borderId="22" xfId="0" applyNumberFormat="1" applyBorder="1">
      <alignment vertical="center"/>
    </xf>
    <xf numFmtId="3" fontId="0" fillId="0" borderId="27" xfId="0" applyNumberFormat="1" applyBorder="1">
      <alignment vertical="center"/>
    </xf>
    <xf numFmtId="3" fontId="0" fillId="0" borderId="28" xfId="0" applyNumberFormat="1" applyBorder="1">
      <alignment vertical="center"/>
    </xf>
    <xf numFmtId="176" fontId="6" fillId="2" borderId="32" xfId="0" applyNumberFormat="1" applyFont="1" applyFill="1" applyBorder="1">
      <alignment vertical="center"/>
    </xf>
    <xf numFmtId="176" fontId="6" fillId="2" borderId="33" xfId="0" applyNumberFormat="1" applyFont="1" applyFill="1" applyBorder="1">
      <alignment vertical="center"/>
    </xf>
    <xf numFmtId="177" fontId="0" fillId="0" borderId="41" xfId="0" applyNumberFormat="1" applyBorder="1">
      <alignment vertical="center"/>
    </xf>
    <xf numFmtId="0" fontId="7" fillId="0" borderId="17" xfId="0" applyFont="1" applyBorder="1">
      <alignment vertical="center"/>
    </xf>
    <xf numFmtId="0" fontId="6" fillId="2" borderId="26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35" xfId="0" applyFont="1" applyFill="1" applyBorder="1" applyAlignment="1">
      <alignment horizontal="center" vertical="center"/>
    </xf>
    <xf numFmtId="0" fontId="6" fillId="2" borderId="39" xfId="0" applyFont="1" applyFill="1" applyBorder="1" applyAlignment="1">
      <alignment horizontal="center" vertical="center"/>
    </xf>
    <xf numFmtId="0" fontId="6" fillId="2" borderId="2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6" fillId="2" borderId="43" xfId="0" applyFont="1" applyFill="1" applyBorder="1">
      <alignment vertical="center"/>
    </xf>
    <xf numFmtId="0" fontId="6" fillId="2" borderId="44" xfId="0" applyFont="1" applyFill="1" applyBorder="1">
      <alignment vertical="center"/>
    </xf>
    <xf numFmtId="0" fontId="6" fillId="2" borderId="45" xfId="0" applyFont="1" applyFill="1" applyBorder="1">
      <alignment vertical="center"/>
    </xf>
    <xf numFmtId="0" fontId="6" fillId="2" borderId="46" xfId="0" applyFont="1" applyFill="1" applyBorder="1">
      <alignment vertical="center"/>
    </xf>
    <xf numFmtId="0" fontId="4" fillId="2" borderId="17" xfId="0" applyFont="1" applyFill="1" applyBorder="1">
      <alignment vertical="center"/>
    </xf>
    <xf numFmtId="0" fontId="7" fillId="0" borderId="19" xfId="0" applyFont="1" applyBorder="1">
      <alignment vertical="center"/>
    </xf>
    <xf numFmtId="0" fontId="3" fillId="0" borderId="59" xfId="0" applyFont="1" applyBorder="1">
      <alignment vertical="center"/>
    </xf>
    <xf numFmtId="0" fontId="3" fillId="4" borderId="0" xfId="0" applyFont="1" applyFill="1">
      <alignment vertical="center"/>
    </xf>
    <xf numFmtId="3" fontId="0" fillId="0" borderId="22" xfId="0" applyNumberFormat="1" applyBorder="1">
      <alignment vertical="center"/>
    </xf>
    <xf numFmtId="3" fontId="0" fillId="4" borderId="22" xfId="0" applyNumberFormat="1" applyFill="1" applyBorder="1">
      <alignment vertical="center"/>
    </xf>
    <xf numFmtId="3" fontId="0" fillId="4" borderId="13" xfId="0" applyNumberFormat="1" applyFill="1" applyBorder="1">
      <alignment vertical="center"/>
    </xf>
    <xf numFmtId="3" fontId="0" fillId="4" borderId="23" xfId="0" applyNumberFormat="1" applyFill="1" applyBorder="1">
      <alignment vertical="center"/>
    </xf>
    <xf numFmtId="3" fontId="0" fillId="4" borderId="15" xfId="0" applyNumberFormat="1" applyFill="1" applyBorder="1">
      <alignment vertical="center"/>
    </xf>
    <xf numFmtId="178" fontId="0" fillId="4" borderId="22" xfId="1" applyNumberFormat="1" applyFont="1" applyFill="1" applyBorder="1">
      <alignment vertical="center"/>
    </xf>
    <xf numFmtId="178" fontId="0" fillId="4" borderId="13" xfId="1" applyNumberFormat="1" applyFont="1" applyFill="1" applyBorder="1">
      <alignment vertical="center"/>
    </xf>
    <xf numFmtId="178" fontId="0" fillId="4" borderId="37" xfId="1" applyNumberFormat="1" applyFont="1" applyFill="1" applyBorder="1">
      <alignment vertical="center"/>
    </xf>
    <xf numFmtId="3" fontId="0" fillId="5" borderId="23" xfId="0" applyNumberFormat="1" applyFill="1" applyBorder="1">
      <alignment vertical="center"/>
    </xf>
    <xf numFmtId="3" fontId="0" fillId="5" borderId="15" xfId="0" applyNumberFormat="1" applyFill="1" applyBorder="1">
      <alignment vertical="center"/>
    </xf>
    <xf numFmtId="177" fontId="0" fillId="5" borderId="23" xfId="0" applyNumberFormat="1" applyFill="1" applyBorder="1">
      <alignment vertical="center"/>
    </xf>
    <xf numFmtId="177" fontId="0" fillId="5" borderId="15" xfId="0" applyNumberFormat="1" applyFill="1" applyBorder="1">
      <alignment vertical="center"/>
    </xf>
    <xf numFmtId="177" fontId="0" fillId="5" borderId="34" xfId="0" applyNumberFormat="1" applyFill="1" applyBorder="1">
      <alignment vertical="center"/>
    </xf>
    <xf numFmtId="177" fontId="0" fillId="5" borderId="25" xfId="0" applyNumberFormat="1" applyFill="1" applyBorder="1">
      <alignment vertical="center"/>
    </xf>
    <xf numFmtId="0" fontId="6" fillId="2" borderId="0" xfId="0" applyFont="1" applyFill="1">
      <alignment vertical="center"/>
    </xf>
    <xf numFmtId="0" fontId="6" fillId="2" borderId="60" xfId="0" applyFont="1" applyFill="1" applyBorder="1">
      <alignment vertical="center"/>
    </xf>
    <xf numFmtId="0" fontId="6" fillId="2" borderId="62" xfId="0" applyFont="1" applyFill="1" applyBorder="1">
      <alignment vertical="center"/>
    </xf>
    <xf numFmtId="0" fontId="7" fillId="2" borderId="44" xfId="0" applyFont="1" applyFill="1" applyBorder="1">
      <alignment vertical="center"/>
    </xf>
    <xf numFmtId="0" fontId="7" fillId="2" borderId="46" xfId="0" applyFont="1" applyFill="1" applyBorder="1">
      <alignment vertical="center"/>
    </xf>
    <xf numFmtId="0" fontId="7" fillId="2" borderId="52" xfId="0" applyFont="1" applyFill="1" applyBorder="1">
      <alignment vertical="center"/>
    </xf>
    <xf numFmtId="0" fontId="4" fillId="2" borderId="38" xfId="0" applyFont="1" applyFill="1" applyBorder="1">
      <alignment vertical="center"/>
    </xf>
    <xf numFmtId="0" fontId="4" fillId="2" borderId="18" xfId="0" applyFont="1" applyFill="1" applyBorder="1">
      <alignment vertical="center"/>
    </xf>
    <xf numFmtId="0" fontId="4" fillId="2" borderId="21" xfId="0" applyFont="1" applyFill="1" applyBorder="1">
      <alignment vertical="center"/>
    </xf>
    <xf numFmtId="176" fontId="6" fillId="2" borderId="69" xfId="0" applyNumberFormat="1" applyFont="1" applyFill="1" applyBorder="1">
      <alignment vertical="center"/>
    </xf>
    <xf numFmtId="176" fontId="6" fillId="2" borderId="71" xfId="0" applyNumberFormat="1" applyFont="1" applyFill="1" applyBorder="1">
      <alignment vertical="center"/>
    </xf>
    <xf numFmtId="0" fontId="4" fillId="2" borderId="19" xfId="0" applyFont="1" applyFill="1" applyBorder="1">
      <alignment vertical="center"/>
    </xf>
    <xf numFmtId="177" fontId="0" fillId="0" borderId="28" xfId="0" applyNumberFormat="1" applyBorder="1">
      <alignment vertical="center"/>
    </xf>
    <xf numFmtId="177" fontId="0" fillId="5" borderId="80" xfId="0" applyNumberFormat="1" applyFill="1" applyBorder="1">
      <alignment vertical="center"/>
    </xf>
    <xf numFmtId="0" fontId="7" fillId="2" borderId="74" xfId="0" applyFont="1" applyFill="1" applyBorder="1" applyAlignment="1">
      <alignment horizontal="center" vertical="center"/>
    </xf>
    <xf numFmtId="176" fontId="6" fillId="2" borderId="43" xfId="0" applyNumberFormat="1" applyFont="1" applyFill="1" applyBorder="1">
      <alignment vertical="center"/>
    </xf>
    <xf numFmtId="176" fontId="6" fillId="2" borderId="81" xfId="0" applyNumberFormat="1" applyFont="1" applyFill="1" applyBorder="1" applyAlignment="1">
      <alignment horizontal="center" vertical="center"/>
    </xf>
    <xf numFmtId="0" fontId="0" fillId="0" borderId="82" xfId="0" applyBorder="1">
      <alignment vertical="center"/>
    </xf>
    <xf numFmtId="0" fontId="0" fillId="0" borderId="83" xfId="0" applyBorder="1">
      <alignment vertical="center"/>
    </xf>
    <xf numFmtId="0" fontId="0" fillId="0" borderId="84" xfId="0" applyBorder="1">
      <alignment vertical="center"/>
    </xf>
    <xf numFmtId="0" fontId="0" fillId="0" borderId="83" xfId="0" applyBorder="1" applyAlignment="1">
      <alignment horizontal="center" vertical="center"/>
    </xf>
    <xf numFmtId="0" fontId="7" fillId="0" borderId="85" xfId="0" applyFont="1" applyBorder="1">
      <alignment vertical="center"/>
    </xf>
    <xf numFmtId="176" fontId="6" fillId="2" borderId="70" xfId="0" applyNumberFormat="1" applyFont="1" applyFill="1" applyBorder="1" applyAlignment="1">
      <alignment horizontal="center" vertical="center"/>
    </xf>
    <xf numFmtId="176" fontId="6" fillId="2" borderId="2" xfId="0" applyNumberFormat="1" applyFont="1" applyFill="1" applyBorder="1" applyAlignment="1">
      <alignment horizontal="center" vertical="center"/>
    </xf>
    <xf numFmtId="0" fontId="0" fillId="0" borderId="20" xfId="0" applyBorder="1" applyAlignment="1">
      <alignment vertical="center" wrapText="1"/>
    </xf>
    <xf numFmtId="0" fontId="0" fillId="0" borderId="47" xfId="0" applyBorder="1" applyAlignment="1">
      <alignment vertical="center" wrapText="1"/>
    </xf>
    <xf numFmtId="0" fontId="0" fillId="0" borderId="78" xfId="0" applyBorder="1" applyAlignment="1">
      <alignment vertical="center" wrapText="1"/>
    </xf>
    <xf numFmtId="0" fontId="0" fillId="0" borderId="79" xfId="0" applyBorder="1" applyAlignment="1">
      <alignment vertical="center" wrapText="1"/>
    </xf>
    <xf numFmtId="0" fontId="0" fillId="0" borderId="77" xfId="0" applyBorder="1" applyAlignment="1">
      <alignment vertical="center" wrapText="1"/>
    </xf>
    <xf numFmtId="0" fontId="0" fillId="6" borderId="73" xfId="0" applyFill="1" applyBorder="1" applyAlignment="1">
      <alignment vertical="center" wrapText="1"/>
    </xf>
    <xf numFmtId="14" fontId="0" fillId="6" borderId="99" xfId="0" applyNumberFormat="1" applyFill="1" applyBorder="1" applyAlignment="1">
      <alignment horizontal="center" vertical="center" wrapText="1"/>
    </xf>
    <xf numFmtId="14" fontId="0" fillId="6" borderId="75" xfId="0" applyNumberFormat="1" applyFill="1" applyBorder="1" applyAlignment="1">
      <alignment horizontal="center" vertical="center" wrapText="1"/>
    </xf>
    <xf numFmtId="14" fontId="0" fillId="6" borderId="99" xfId="0" applyNumberFormat="1" applyFill="1" applyBorder="1" applyAlignment="1">
      <alignment vertical="center" wrapText="1"/>
    </xf>
    <xf numFmtId="0" fontId="0" fillId="6" borderId="75" xfId="0" applyFill="1" applyBorder="1" applyAlignment="1">
      <alignment horizontal="center" vertical="center" wrapText="1"/>
    </xf>
    <xf numFmtId="0" fontId="0" fillId="6" borderId="99" xfId="0" applyFill="1" applyBorder="1" applyAlignment="1">
      <alignment horizontal="center" vertical="center" wrapText="1"/>
    </xf>
    <xf numFmtId="0" fontId="0" fillId="6" borderId="78" xfId="0" applyFill="1" applyBorder="1" applyAlignment="1">
      <alignment vertical="center" wrapText="1"/>
    </xf>
    <xf numFmtId="176" fontId="6" fillId="2" borderId="42" xfId="0" applyNumberFormat="1" applyFont="1" applyFill="1" applyBorder="1">
      <alignment vertical="center"/>
    </xf>
    <xf numFmtId="3" fontId="0" fillId="0" borderId="101" xfId="0" applyNumberFormat="1" applyBorder="1">
      <alignment vertical="center"/>
    </xf>
    <xf numFmtId="3" fontId="0" fillId="5" borderId="102" xfId="0" applyNumberFormat="1" applyFill="1" applyBorder="1">
      <alignment vertical="center"/>
    </xf>
    <xf numFmtId="3" fontId="0" fillId="4" borderId="103" xfId="0" applyNumberFormat="1" applyFill="1" applyBorder="1">
      <alignment vertical="center"/>
    </xf>
    <xf numFmtId="3" fontId="0" fillId="4" borderId="102" xfId="0" applyNumberFormat="1" applyFill="1" applyBorder="1">
      <alignment vertical="center"/>
    </xf>
    <xf numFmtId="178" fontId="0" fillId="4" borderId="103" xfId="1" applyNumberFormat="1" applyFont="1" applyFill="1" applyBorder="1">
      <alignment vertical="center"/>
    </xf>
    <xf numFmtId="178" fontId="0" fillId="4" borderId="104" xfId="1" applyNumberFormat="1" applyFont="1" applyFill="1" applyBorder="1">
      <alignment vertical="center"/>
    </xf>
    <xf numFmtId="177" fontId="0" fillId="0" borderId="105" xfId="0" applyNumberFormat="1" applyBorder="1">
      <alignment vertical="center"/>
    </xf>
    <xf numFmtId="177" fontId="0" fillId="5" borderId="102" xfId="0" applyNumberFormat="1" applyFill="1" applyBorder="1">
      <alignment vertical="center"/>
    </xf>
    <xf numFmtId="177" fontId="0" fillId="0" borderId="103" xfId="0" applyNumberFormat="1" applyBorder="1">
      <alignment vertical="center"/>
    </xf>
    <xf numFmtId="177" fontId="0" fillId="0" borderId="101" xfId="0" applyNumberFormat="1" applyBorder="1">
      <alignment vertical="center"/>
    </xf>
    <xf numFmtId="177" fontId="0" fillId="5" borderId="106" xfId="0" applyNumberFormat="1" applyFill="1" applyBorder="1">
      <alignment vertical="center"/>
    </xf>
    <xf numFmtId="176" fontId="6" fillId="2" borderId="100" xfId="0" applyNumberFormat="1" applyFont="1" applyFill="1" applyBorder="1" applyAlignment="1">
      <alignment horizontal="center" vertical="center"/>
    </xf>
    <xf numFmtId="3" fontId="0" fillId="4" borderId="107" xfId="0" applyNumberFormat="1" applyFill="1" applyBorder="1">
      <alignment vertical="center"/>
    </xf>
    <xf numFmtId="3" fontId="0" fillId="4" borderId="108" xfId="0" applyNumberFormat="1" applyFill="1" applyBorder="1">
      <alignment vertical="center"/>
    </xf>
    <xf numFmtId="3" fontId="0" fillId="4" borderId="109" xfId="0" applyNumberFormat="1" applyFill="1" applyBorder="1">
      <alignment vertical="center"/>
    </xf>
    <xf numFmtId="178" fontId="0" fillId="4" borderId="109" xfId="1" applyNumberFormat="1" applyFont="1" applyFill="1" applyBorder="1">
      <alignment vertical="center"/>
    </xf>
    <xf numFmtId="178" fontId="0" fillId="4" borderId="110" xfId="1" applyNumberFormat="1" applyFont="1" applyFill="1" applyBorder="1">
      <alignment vertical="center"/>
    </xf>
    <xf numFmtId="177" fontId="0" fillId="4" borderId="111" xfId="0" applyNumberFormat="1" applyFill="1" applyBorder="1">
      <alignment vertical="center"/>
    </xf>
    <xf numFmtId="177" fontId="0" fillId="4" borderId="108" xfId="0" applyNumberFormat="1" applyFill="1" applyBorder="1">
      <alignment vertical="center"/>
    </xf>
    <xf numFmtId="177" fontId="0" fillId="4" borderId="109" xfId="0" applyNumberFormat="1" applyFill="1" applyBorder="1">
      <alignment vertical="center"/>
    </xf>
    <xf numFmtId="177" fontId="0" fillId="4" borderId="107" xfId="0" applyNumberFormat="1" applyFill="1" applyBorder="1">
      <alignment vertical="center"/>
    </xf>
    <xf numFmtId="177" fontId="0" fillId="4" borderId="112" xfId="0" applyNumberFormat="1" applyFill="1" applyBorder="1">
      <alignment vertical="center"/>
    </xf>
    <xf numFmtId="0" fontId="0" fillId="7" borderId="72" xfId="0" applyFill="1" applyBorder="1" applyAlignment="1">
      <alignment vertical="center" wrapText="1"/>
    </xf>
    <xf numFmtId="0" fontId="0" fillId="7" borderId="73" xfId="0" applyFill="1" applyBorder="1" applyAlignment="1">
      <alignment vertical="center" wrapText="1"/>
    </xf>
    <xf numFmtId="14" fontId="0" fillId="7" borderId="98" xfId="0" applyNumberFormat="1" applyFill="1" applyBorder="1" applyAlignment="1">
      <alignment horizontal="center" vertical="center" wrapText="1"/>
    </xf>
    <xf numFmtId="14" fontId="0" fillId="7" borderId="99" xfId="0" applyNumberFormat="1" applyFill="1" applyBorder="1" applyAlignment="1">
      <alignment horizontal="center" vertical="center" wrapText="1"/>
    </xf>
    <xf numFmtId="14" fontId="0" fillId="7" borderId="74" xfId="0" applyNumberFormat="1" applyFill="1" applyBorder="1" applyAlignment="1">
      <alignment horizontal="center" vertical="center" wrapText="1"/>
    </xf>
    <xf numFmtId="14" fontId="0" fillId="7" borderId="75" xfId="0" applyNumberFormat="1" applyFill="1" applyBorder="1" applyAlignment="1">
      <alignment horizontal="center" vertical="center" wrapText="1"/>
    </xf>
    <xf numFmtId="0" fontId="0" fillId="7" borderId="98" xfId="0" applyFill="1" applyBorder="1" applyAlignment="1">
      <alignment vertical="center" wrapText="1"/>
    </xf>
    <xf numFmtId="0" fontId="0" fillId="7" borderId="74" xfId="0" applyFill="1" applyBorder="1" applyAlignment="1">
      <alignment vertical="center" wrapText="1"/>
    </xf>
    <xf numFmtId="0" fontId="0" fillId="7" borderId="98" xfId="0" applyFill="1" applyBorder="1" applyAlignment="1">
      <alignment horizontal="center" vertical="center" wrapText="1"/>
    </xf>
    <xf numFmtId="14" fontId="0" fillId="7" borderId="99" xfId="0" applyNumberFormat="1" applyFill="1" applyBorder="1" applyAlignment="1">
      <alignment vertical="center" wrapText="1"/>
    </xf>
    <xf numFmtId="0" fontId="0" fillId="7" borderId="10" xfId="0" applyFill="1" applyBorder="1" applyAlignment="1">
      <alignment horizontal="center" vertical="center" wrapText="1"/>
    </xf>
    <xf numFmtId="0" fontId="0" fillId="7" borderId="75" xfId="0" applyFill="1" applyBorder="1" applyAlignment="1">
      <alignment horizontal="center" vertical="center" wrapText="1"/>
    </xf>
    <xf numFmtId="0" fontId="0" fillId="7" borderId="99" xfId="0" applyFill="1" applyBorder="1" applyAlignment="1">
      <alignment horizontal="center" vertical="center" wrapText="1"/>
    </xf>
    <xf numFmtId="177" fontId="0" fillId="7" borderId="22" xfId="0" applyNumberFormat="1" applyFill="1" applyBorder="1">
      <alignment vertical="center"/>
    </xf>
    <xf numFmtId="177" fontId="0" fillId="7" borderId="13" xfId="0" applyNumberFormat="1" applyFill="1" applyBorder="1">
      <alignment vertical="center"/>
    </xf>
    <xf numFmtId="177" fontId="0" fillId="7" borderId="40" xfId="0" applyNumberFormat="1" applyFill="1" applyBorder="1">
      <alignment vertical="center"/>
    </xf>
    <xf numFmtId="177" fontId="0" fillId="7" borderId="41" xfId="0" applyNumberFormat="1" applyFill="1" applyBorder="1">
      <alignment vertical="center"/>
    </xf>
    <xf numFmtId="176" fontId="6" fillId="2" borderId="30" xfId="0" applyNumberFormat="1" applyFont="1" applyFill="1" applyBorder="1" applyAlignment="1">
      <alignment horizontal="center" vertical="center"/>
    </xf>
    <xf numFmtId="176" fontId="6" fillId="2" borderId="65" xfId="0" applyNumberFormat="1" applyFont="1" applyFill="1" applyBorder="1" applyAlignment="1">
      <alignment horizontal="center" vertical="center"/>
    </xf>
    <xf numFmtId="0" fontId="0" fillId="7" borderId="62" xfId="0" applyFill="1" applyBorder="1" applyAlignment="1">
      <alignment horizontal="center" vertical="center" wrapText="1"/>
    </xf>
    <xf numFmtId="0" fontId="0" fillId="7" borderId="113" xfId="0" applyFill="1" applyBorder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6" fillId="2" borderId="114" xfId="0" applyFont="1" applyFill="1" applyBorder="1" applyAlignment="1">
      <alignment horizontal="center" vertical="center"/>
    </xf>
    <xf numFmtId="0" fontId="6" fillId="2" borderId="115" xfId="0" applyFont="1" applyFill="1" applyBorder="1" applyAlignment="1">
      <alignment horizontal="center" vertical="center"/>
    </xf>
    <xf numFmtId="0" fontId="6" fillId="2" borderId="116" xfId="0" applyFont="1" applyFill="1" applyBorder="1" applyAlignment="1">
      <alignment horizontal="center" vertical="center"/>
    </xf>
    <xf numFmtId="0" fontId="6" fillId="2" borderId="117" xfId="0" applyFont="1" applyFill="1" applyBorder="1" applyAlignment="1">
      <alignment horizontal="center" vertical="center"/>
    </xf>
    <xf numFmtId="0" fontId="6" fillId="2" borderId="118" xfId="0" applyFont="1" applyFill="1" applyBorder="1" applyAlignment="1">
      <alignment horizontal="center" vertical="center"/>
    </xf>
    <xf numFmtId="0" fontId="6" fillId="2" borderId="119" xfId="0" applyFont="1" applyFill="1" applyBorder="1" applyAlignment="1">
      <alignment horizontal="center" vertical="center"/>
    </xf>
    <xf numFmtId="0" fontId="11" fillId="0" borderId="38" xfId="0" applyFont="1" applyBorder="1">
      <alignment vertical="center"/>
    </xf>
    <xf numFmtId="0" fontId="11" fillId="0" borderId="19" xfId="0" applyFont="1" applyBorder="1">
      <alignment vertical="center"/>
    </xf>
    <xf numFmtId="178" fontId="0" fillId="7" borderId="36" xfId="1" applyNumberFormat="1" applyFont="1" applyFill="1" applyBorder="1">
      <alignment vertical="center"/>
    </xf>
    <xf numFmtId="178" fontId="0" fillId="7" borderId="37" xfId="1" applyNumberFormat="1" applyFont="1" applyFill="1" applyBorder="1">
      <alignment vertical="center"/>
    </xf>
    <xf numFmtId="0" fontId="6" fillId="3" borderId="64" xfId="0" applyFont="1" applyFill="1" applyBorder="1" applyAlignment="1">
      <alignment horizontal="center" vertical="center"/>
    </xf>
    <xf numFmtId="0" fontId="6" fillId="3" borderId="62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60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3" fillId="7" borderId="46" xfId="0" applyFont="1" applyFill="1" applyBorder="1" applyAlignment="1">
      <alignment vertical="top" wrapText="1"/>
    </xf>
    <xf numFmtId="0" fontId="3" fillId="7" borderId="0" xfId="0" applyFont="1" applyFill="1" applyAlignment="1">
      <alignment vertical="top" wrapText="1"/>
    </xf>
    <xf numFmtId="0" fontId="3" fillId="7" borderId="53" xfId="0" applyFont="1" applyFill="1" applyBorder="1" applyAlignment="1">
      <alignment vertical="top" wrapText="1"/>
    </xf>
    <xf numFmtId="0" fontId="3" fillId="7" borderId="52" xfId="0" applyFont="1" applyFill="1" applyBorder="1" applyAlignment="1">
      <alignment vertical="top" wrapText="1"/>
    </xf>
    <xf numFmtId="0" fontId="3" fillId="7" borderId="47" xfId="0" applyFont="1" applyFill="1" applyBorder="1" applyAlignment="1">
      <alignment vertical="top" wrapText="1"/>
    </xf>
    <xf numFmtId="0" fontId="3" fillId="7" borderId="54" xfId="0" applyFont="1" applyFill="1" applyBorder="1" applyAlignment="1">
      <alignment vertical="top" wrapText="1"/>
    </xf>
    <xf numFmtId="0" fontId="3" fillId="7" borderId="45" xfId="0" applyFont="1" applyFill="1" applyBorder="1" applyAlignment="1">
      <alignment vertical="top" wrapText="1"/>
    </xf>
    <xf numFmtId="0" fontId="3" fillId="7" borderId="62" xfId="0" applyFont="1" applyFill="1" applyBorder="1" applyAlignment="1">
      <alignment vertical="top" wrapText="1"/>
    </xf>
    <xf numFmtId="0" fontId="3" fillId="7" borderId="63" xfId="0" applyFont="1" applyFill="1" applyBorder="1" applyAlignment="1">
      <alignment vertical="top" wrapText="1"/>
    </xf>
    <xf numFmtId="0" fontId="3" fillId="7" borderId="44" xfId="0" applyFont="1" applyFill="1" applyBorder="1" applyAlignment="1">
      <alignment vertical="top" wrapText="1"/>
    </xf>
    <xf numFmtId="0" fontId="3" fillId="7" borderId="60" xfId="0" applyFont="1" applyFill="1" applyBorder="1" applyAlignment="1">
      <alignment vertical="top" wrapText="1"/>
    </xf>
    <xf numFmtId="0" fontId="3" fillId="7" borderId="61" xfId="0" applyFont="1" applyFill="1" applyBorder="1" applyAlignment="1">
      <alignment vertical="top" wrapText="1"/>
    </xf>
    <xf numFmtId="0" fontId="6" fillId="2" borderId="64" xfId="0" applyFont="1" applyFill="1" applyBorder="1" applyAlignment="1">
      <alignment horizontal="center" vertical="center" wrapText="1"/>
    </xf>
    <xf numFmtId="0" fontId="6" fillId="2" borderId="62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179" fontId="3" fillId="0" borderId="2" xfId="0" applyNumberFormat="1" applyFont="1" applyBorder="1" applyAlignment="1">
      <alignment horizontal="center" vertical="center"/>
    </xf>
    <xf numFmtId="179" fontId="3" fillId="0" borderId="5" xfId="0" applyNumberFormat="1" applyFont="1" applyBorder="1" applyAlignment="1">
      <alignment horizontal="center" vertical="center"/>
    </xf>
    <xf numFmtId="179" fontId="3" fillId="0" borderId="5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8" fillId="3" borderId="5" xfId="0" applyFont="1" applyFill="1" applyBorder="1">
      <alignment vertical="center"/>
    </xf>
    <xf numFmtId="0" fontId="3" fillId="4" borderId="55" xfId="0" applyFont="1" applyFill="1" applyBorder="1" applyAlignment="1">
      <alignment horizontal="center" vertical="center"/>
    </xf>
    <xf numFmtId="0" fontId="3" fillId="4" borderId="48" xfId="0" applyFont="1" applyFill="1" applyBorder="1" applyAlignment="1">
      <alignment horizontal="center" vertical="center"/>
    </xf>
    <xf numFmtId="177" fontId="3" fillId="4" borderId="55" xfId="0" applyNumberFormat="1" applyFont="1" applyFill="1" applyBorder="1" applyAlignment="1">
      <alignment horizontal="center" vertical="center"/>
    </xf>
    <xf numFmtId="177" fontId="3" fillId="4" borderId="50" xfId="0" applyNumberFormat="1" applyFont="1" applyFill="1" applyBorder="1" applyAlignment="1">
      <alignment horizontal="center" vertical="center"/>
    </xf>
    <xf numFmtId="177" fontId="3" fillId="4" borderId="48" xfId="0" applyNumberFormat="1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55" xfId="0" applyFont="1" applyFill="1" applyBorder="1" applyAlignment="1">
      <alignment horizontal="center" vertical="center"/>
    </xf>
    <xf numFmtId="0" fontId="8" fillId="3" borderId="48" xfId="0" applyFont="1" applyFill="1" applyBorder="1" applyAlignment="1">
      <alignment horizontal="center" vertical="center"/>
    </xf>
    <xf numFmtId="0" fontId="6" fillId="2" borderId="66" xfId="0" applyFont="1" applyFill="1" applyBorder="1" applyAlignment="1">
      <alignment horizontal="center" vertical="center" wrapText="1"/>
    </xf>
    <xf numFmtId="0" fontId="6" fillId="2" borderId="50" xfId="0" applyFont="1" applyFill="1" applyBorder="1" applyAlignment="1">
      <alignment horizontal="center" vertical="center" wrapText="1"/>
    </xf>
    <xf numFmtId="0" fontId="6" fillId="2" borderId="48" xfId="0" applyFont="1" applyFill="1" applyBorder="1" applyAlignment="1">
      <alignment horizontal="center" vertical="center" wrapText="1"/>
    </xf>
    <xf numFmtId="0" fontId="3" fillId="0" borderId="55" xfId="0" applyFont="1" applyBorder="1">
      <alignment vertical="center"/>
    </xf>
    <xf numFmtId="0" fontId="3" fillId="0" borderId="50" xfId="0" applyFont="1" applyBorder="1">
      <alignment vertical="center"/>
    </xf>
    <xf numFmtId="0" fontId="3" fillId="0" borderId="56" xfId="0" applyFont="1" applyBorder="1">
      <alignment vertical="center"/>
    </xf>
    <xf numFmtId="0" fontId="6" fillId="2" borderId="10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60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3" fillId="0" borderId="45" xfId="0" applyFont="1" applyBorder="1" applyAlignment="1">
      <alignment vertical="top" wrapText="1"/>
    </xf>
    <xf numFmtId="0" fontId="3" fillId="0" borderId="62" xfId="0" applyFont="1" applyBorder="1" applyAlignment="1">
      <alignment vertical="top"/>
    </xf>
    <xf numFmtId="0" fontId="3" fillId="0" borderId="63" xfId="0" applyFont="1" applyBorder="1" applyAlignment="1">
      <alignment vertical="top"/>
    </xf>
    <xf numFmtId="0" fontId="3" fillId="0" borderId="46" xfId="0" applyFont="1" applyBorder="1" applyAlignment="1">
      <alignment vertical="top"/>
    </xf>
    <xf numFmtId="0" fontId="3" fillId="0" borderId="0" xfId="0" applyFont="1" applyAlignment="1">
      <alignment vertical="top"/>
    </xf>
    <xf numFmtId="0" fontId="3" fillId="0" borderId="53" xfId="0" applyFont="1" applyBorder="1" applyAlignment="1">
      <alignment vertical="top"/>
    </xf>
    <xf numFmtId="0" fontId="3" fillId="0" borderId="44" xfId="0" applyFont="1" applyBorder="1" applyAlignment="1">
      <alignment vertical="top"/>
    </xf>
    <xf numFmtId="0" fontId="3" fillId="0" borderId="60" xfId="0" applyFont="1" applyBorder="1" applyAlignment="1">
      <alignment vertical="top"/>
    </xf>
    <xf numFmtId="0" fontId="3" fillId="0" borderId="61" xfId="0" applyFont="1" applyBorder="1" applyAlignment="1">
      <alignment vertical="top"/>
    </xf>
    <xf numFmtId="0" fontId="3" fillId="3" borderId="5" xfId="0" applyFont="1" applyFill="1" applyBorder="1">
      <alignment vertical="center"/>
    </xf>
    <xf numFmtId="3" fontId="3" fillId="4" borderId="5" xfId="0" applyNumberFormat="1" applyFont="1" applyFill="1" applyBorder="1" applyAlignment="1">
      <alignment horizontal="center" vertical="center"/>
    </xf>
    <xf numFmtId="178" fontId="3" fillId="4" borderId="5" xfId="1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30" xfId="0" applyFont="1" applyFill="1" applyBorder="1" applyAlignment="1">
      <alignment horizontal="center" vertical="center"/>
    </xf>
    <xf numFmtId="0" fontId="6" fillId="2" borderId="32" xfId="0" applyFont="1" applyFill="1" applyBorder="1" applyAlignment="1">
      <alignment horizontal="center" vertical="center"/>
    </xf>
    <xf numFmtId="179" fontId="10" fillId="7" borderId="42" xfId="0" applyNumberFormat="1" applyFont="1" applyFill="1" applyBorder="1" applyAlignment="1">
      <alignment horizontal="center" vertical="center"/>
    </xf>
    <xf numFmtId="179" fontId="3" fillId="7" borderId="30" xfId="0" applyNumberFormat="1" applyFont="1" applyFill="1" applyBorder="1" applyAlignment="1">
      <alignment horizontal="center" vertical="center"/>
    </xf>
    <xf numFmtId="179" fontId="3" fillId="7" borderId="32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10" fillId="0" borderId="2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9" fontId="3" fillId="0" borderId="42" xfId="0" applyNumberFormat="1" applyFont="1" applyBorder="1" applyAlignment="1">
      <alignment horizontal="center" vertical="center"/>
    </xf>
    <xf numFmtId="179" fontId="3" fillId="0" borderId="30" xfId="0" applyNumberFormat="1" applyFont="1" applyBorder="1" applyAlignment="1">
      <alignment horizontal="center" vertical="center"/>
    </xf>
    <xf numFmtId="179" fontId="3" fillId="0" borderId="31" xfId="0" applyNumberFormat="1" applyFont="1" applyBorder="1" applyAlignment="1">
      <alignment horizontal="center" vertical="center"/>
    </xf>
    <xf numFmtId="179" fontId="3" fillId="0" borderId="32" xfId="0" applyNumberFormat="1" applyFont="1" applyBorder="1" applyAlignment="1">
      <alignment horizontal="center" vertical="center"/>
    </xf>
    <xf numFmtId="0" fontId="6" fillId="2" borderId="4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 wrapText="1"/>
    </xf>
    <xf numFmtId="0" fontId="9" fillId="0" borderId="45" xfId="0" applyFont="1" applyBorder="1" applyAlignment="1">
      <alignment vertical="center" wrapText="1"/>
    </xf>
    <xf numFmtId="0" fontId="5" fillId="0" borderId="62" xfId="0" applyFont="1" applyBorder="1" applyAlignment="1">
      <alignment vertical="center" wrapText="1"/>
    </xf>
    <xf numFmtId="0" fontId="5" fillId="0" borderId="63" xfId="0" applyFont="1" applyBorder="1" applyAlignment="1">
      <alignment vertical="center" wrapText="1"/>
    </xf>
    <xf numFmtId="0" fontId="5" fillId="0" borderId="52" xfId="0" applyFont="1" applyBorder="1" applyAlignment="1">
      <alignment vertical="center" wrapText="1"/>
    </xf>
    <xf numFmtId="0" fontId="5" fillId="0" borderId="47" xfId="0" applyFont="1" applyBorder="1" applyAlignment="1">
      <alignment vertical="center" wrapText="1"/>
    </xf>
    <xf numFmtId="0" fontId="5" fillId="0" borderId="54" xfId="0" applyFont="1" applyBorder="1" applyAlignment="1">
      <alignment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5" fillId="0" borderId="3" xfId="0" applyFont="1" applyBorder="1">
      <alignment vertical="center"/>
    </xf>
    <xf numFmtId="0" fontId="5" fillId="0" borderId="5" xfId="0" applyFont="1" applyBorder="1">
      <alignment vertical="center"/>
    </xf>
    <xf numFmtId="0" fontId="5" fillId="0" borderId="6" xfId="0" applyFont="1" applyBorder="1">
      <alignment vertical="center"/>
    </xf>
    <xf numFmtId="0" fontId="8" fillId="3" borderId="5" xfId="0" applyFont="1" applyFill="1" applyBorder="1" applyAlignment="1">
      <alignment vertical="center" wrapText="1"/>
    </xf>
    <xf numFmtId="0" fontId="8" fillId="3" borderId="6" xfId="0" applyFont="1" applyFill="1" applyBorder="1" applyAlignment="1">
      <alignment vertical="center" wrapText="1"/>
    </xf>
    <xf numFmtId="0" fontId="3" fillId="7" borderId="5" xfId="0" applyFont="1" applyFill="1" applyBorder="1" applyAlignment="1">
      <alignment vertical="top" wrapText="1"/>
    </xf>
    <xf numFmtId="0" fontId="3" fillId="7" borderId="5" xfId="0" applyFont="1" applyFill="1" applyBorder="1" applyAlignment="1">
      <alignment vertical="top"/>
    </xf>
    <xf numFmtId="0" fontId="3" fillId="7" borderId="6" xfId="0" applyFont="1" applyFill="1" applyBorder="1" applyAlignment="1">
      <alignment vertical="top"/>
    </xf>
    <xf numFmtId="0" fontId="8" fillId="3" borderId="6" xfId="0" applyFont="1" applyFill="1" applyBorder="1">
      <alignment vertical="center"/>
    </xf>
    <xf numFmtId="0" fontId="8" fillId="3" borderId="55" xfId="0" applyFont="1" applyFill="1" applyBorder="1">
      <alignment vertical="center"/>
    </xf>
    <xf numFmtId="0" fontId="8" fillId="3" borderId="50" xfId="0" applyFont="1" applyFill="1" applyBorder="1">
      <alignment vertical="center"/>
    </xf>
    <xf numFmtId="0" fontId="8" fillId="3" borderId="56" xfId="0" applyFont="1" applyFill="1" applyBorder="1">
      <alignment vertical="center"/>
    </xf>
    <xf numFmtId="0" fontId="3" fillId="7" borderId="62" xfId="0" applyFont="1" applyFill="1" applyBorder="1" applyAlignment="1">
      <alignment vertical="top"/>
    </xf>
    <xf numFmtId="0" fontId="3" fillId="7" borderId="63" xfId="0" applyFont="1" applyFill="1" applyBorder="1" applyAlignment="1">
      <alignment vertical="top"/>
    </xf>
    <xf numFmtId="0" fontId="3" fillId="7" borderId="46" xfId="0" applyFont="1" applyFill="1" applyBorder="1" applyAlignment="1">
      <alignment vertical="top"/>
    </xf>
    <xf numFmtId="0" fontId="3" fillId="7" borderId="0" xfId="0" applyFont="1" applyFill="1" applyAlignment="1">
      <alignment vertical="top"/>
    </xf>
    <xf numFmtId="0" fontId="3" fillId="7" borderId="53" xfId="0" applyFont="1" applyFill="1" applyBorder="1" applyAlignment="1">
      <alignment vertical="top"/>
    </xf>
    <xf numFmtId="0" fontId="3" fillId="7" borderId="44" xfId="0" applyFont="1" applyFill="1" applyBorder="1" applyAlignment="1">
      <alignment vertical="top"/>
    </xf>
    <xf numFmtId="0" fontId="3" fillId="7" borderId="60" xfId="0" applyFont="1" applyFill="1" applyBorder="1" applyAlignment="1">
      <alignment vertical="top"/>
    </xf>
    <xf numFmtId="0" fontId="3" fillId="7" borderId="61" xfId="0" applyFont="1" applyFill="1" applyBorder="1" applyAlignment="1">
      <alignment vertical="top"/>
    </xf>
    <xf numFmtId="0" fontId="10" fillId="0" borderId="45" xfId="0" applyFont="1" applyBorder="1">
      <alignment vertical="center"/>
    </xf>
    <xf numFmtId="0" fontId="3" fillId="0" borderId="62" xfId="0" applyFont="1" applyBorder="1">
      <alignment vertical="center"/>
    </xf>
    <xf numFmtId="0" fontId="3" fillId="0" borderId="63" xfId="0" applyFont="1" applyBorder="1">
      <alignment vertical="center"/>
    </xf>
    <xf numFmtId="0" fontId="3" fillId="4" borderId="5" xfId="0" applyFont="1" applyFill="1" applyBorder="1" applyAlignment="1">
      <alignment horizontal="center" vertical="center"/>
    </xf>
    <xf numFmtId="181" fontId="3" fillId="0" borderId="5" xfId="0" applyNumberFormat="1" applyFont="1" applyBorder="1" applyAlignment="1">
      <alignment horizontal="center" vertical="center"/>
    </xf>
    <xf numFmtId="181" fontId="3" fillId="0" borderId="6" xfId="0" applyNumberFormat="1" applyFont="1" applyBorder="1" applyAlignment="1">
      <alignment horizontal="center" vertical="center"/>
    </xf>
    <xf numFmtId="182" fontId="3" fillId="0" borderId="5" xfId="0" applyNumberFormat="1" applyFont="1" applyBorder="1" applyAlignment="1">
      <alignment horizontal="center" vertical="center"/>
    </xf>
    <xf numFmtId="182" fontId="3" fillId="0" borderId="6" xfId="0" applyNumberFormat="1" applyFont="1" applyBorder="1" applyAlignment="1">
      <alignment horizontal="center" vertical="center"/>
    </xf>
    <xf numFmtId="0" fontId="3" fillId="3" borderId="55" xfId="0" applyFont="1" applyFill="1" applyBorder="1" applyAlignment="1">
      <alignment horizontal="center" vertical="center"/>
    </xf>
    <xf numFmtId="0" fontId="3" fillId="3" borderId="50" xfId="0" applyFont="1" applyFill="1" applyBorder="1" applyAlignment="1">
      <alignment horizontal="center" vertical="center"/>
    </xf>
    <xf numFmtId="0" fontId="3" fillId="3" borderId="48" xfId="0" applyFont="1" applyFill="1" applyBorder="1" applyAlignment="1">
      <alignment horizontal="center" vertical="center"/>
    </xf>
    <xf numFmtId="0" fontId="3" fillId="4" borderId="50" xfId="0" applyFont="1" applyFill="1" applyBorder="1" applyAlignment="1">
      <alignment horizontal="center" vertical="center"/>
    </xf>
    <xf numFmtId="0" fontId="3" fillId="3" borderId="45" xfId="0" applyFont="1" applyFill="1" applyBorder="1" applyAlignment="1">
      <alignment horizontal="center" vertical="center"/>
    </xf>
    <xf numFmtId="0" fontId="3" fillId="3" borderId="62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52" xfId="0" applyFont="1" applyFill="1" applyBorder="1" applyAlignment="1">
      <alignment horizontal="center" vertical="center"/>
    </xf>
    <xf numFmtId="0" fontId="3" fillId="3" borderId="47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0" borderId="45" xfId="0" applyFont="1" applyBorder="1">
      <alignment vertical="center"/>
    </xf>
    <xf numFmtId="0" fontId="3" fillId="0" borderId="17" xfId="0" applyFont="1" applyBorder="1">
      <alignment vertical="center"/>
    </xf>
    <xf numFmtId="0" fontId="3" fillId="0" borderId="52" xfId="0" applyFont="1" applyBorder="1">
      <alignment vertical="center"/>
    </xf>
    <xf numFmtId="0" fontId="3" fillId="0" borderId="47" xfId="0" applyFont="1" applyBorder="1">
      <alignment vertical="center"/>
    </xf>
    <xf numFmtId="0" fontId="3" fillId="0" borderId="21" xfId="0" applyFont="1" applyBorder="1">
      <alignment vertical="center"/>
    </xf>
    <xf numFmtId="0" fontId="6" fillId="3" borderId="20" xfId="0" applyFont="1" applyFill="1" applyBorder="1" applyAlignment="1">
      <alignment horizontal="center" vertical="center"/>
    </xf>
    <xf numFmtId="0" fontId="6" fillId="3" borderId="47" xfId="0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/>
    </xf>
    <xf numFmtId="0" fontId="8" fillId="3" borderId="50" xfId="0" applyFont="1" applyFill="1" applyBorder="1" applyAlignment="1">
      <alignment horizontal="center" vertical="center"/>
    </xf>
    <xf numFmtId="176" fontId="6" fillId="2" borderId="86" xfId="0" applyNumberFormat="1" applyFont="1" applyFill="1" applyBorder="1" applyAlignment="1">
      <alignment horizontal="center" vertical="center"/>
    </xf>
    <xf numFmtId="176" fontId="6" fillId="2" borderId="87" xfId="0" applyNumberFormat="1" applyFont="1" applyFill="1" applyBorder="1" applyAlignment="1">
      <alignment horizontal="center" vertical="center"/>
    </xf>
    <xf numFmtId="0" fontId="0" fillId="7" borderId="88" xfId="0" applyFill="1" applyBorder="1" applyAlignment="1">
      <alignment horizontal="center" vertical="center" wrapText="1"/>
    </xf>
    <xf numFmtId="0" fontId="0" fillId="7" borderId="89" xfId="0" applyFill="1" applyBorder="1" applyAlignment="1">
      <alignment horizontal="center" vertical="center" wrapText="1"/>
    </xf>
    <xf numFmtId="0" fontId="0" fillId="7" borderId="90" xfId="0" applyFill="1" applyBorder="1" applyAlignment="1">
      <alignment horizontal="center" vertical="center" wrapText="1"/>
    </xf>
    <xf numFmtId="0" fontId="0" fillId="7" borderId="93" xfId="0" applyFill="1" applyBorder="1" applyAlignment="1">
      <alignment horizontal="center" vertical="center" wrapText="1"/>
    </xf>
    <xf numFmtId="0" fontId="0" fillId="7" borderId="94" xfId="0" applyFill="1" applyBorder="1" applyAlignment="1">
      <alignment horizontal="center" vertical="center" wrapText="1"/>
    </xf>
    <xf numFmtId="0" fontId="0" fillId="7" borderId="95" xfId="0" applyFill="1" applyBorder="1" applyAlignment="1">
      <alignment horizontal="center" vertical="center" wrapText="1"/>
    </xf>
    <xf numFmtId="0" fontId="0" fillId="7" borderId="91" xfId="0" applyFill="1" applyBorder="1" applyAlignment="1">
      <alignment horizontal="center" vertical="center" wrapText="1"/>
    </xf>
    <xf numFmtId="0" fontId="0" fillId="7" borderId="96" xfId="0" applyFill="1" applyBorder="1" applyAlignment="1">
      <alignment horizontal="center" vertical="center" wrapText="1"/>
    </xf>
    <xf numFmtId="0" fontId="0" fillId="7" borderId="92" xfId="0" applyFill="1" applyBorder="1" applyAlignment="1">
      <alignment horizontal="center" vertical="center" wrapText="1"/>
    </xf>
    <xf numFmtId="0" fontId="0" fillId="7" borderId="97" xfId="0" applyFill="1" applyBorder="1" applyAlignment="1">
      <alignment horizontal="center" vertical="center" wrapText="1"/>
    </xf>
    <xf numFmtId="0" fontId="0" fillId="7" borderId="123" xfId="0" applyFill="1" applyBorder="1" applyAlignment="1">
      <alignment horizontal="center" vertical="center" wrapText="1"/>
    </xf>
    <xf numFmtId="0" fontId="0" fillId="7" borderId="124" xfId="0" applyFill="1" applyBorder="1" applyAlignment="1">
      <alignment horizontal="center" vertical="center" wrapText="1"/>
    </xf>
    <xf numFmtId="0" fontId="0" fillId="7" borderId="125" xfId="0" applyFill="1" applyBorder="1" applyAlignment="1">
      <alignment horizontal="center" vertical="center" wrapText="1"/>
    </xf>
    <xf numFmtId="0" fontId="0" fillId="7" borderId="126" xfId="0" applyFill="1" applyBorder="1" applyAlignment="1">
      <alignment horizontal="center" vertical="center" wrapText="1"/>
    </xf>
    <xf numFmtId="0" fontId="0" fillId="7" borderId="113" xfId="0" applyFill="1" applyBorder="1" applyAlignment="1">
      <alignment horizontal="center" vertical="center" wrapText="1"/>
    </xf>
    <xf numFmtId="0" fontId="0" fillId="7" borderId="127" xfId="0" applyFill="1" applyBorder="1" applyAlignment="1">
      <alignment horizontal="center" vertical="center" wrapText="1"/>
    </xf>
    <xf numFmtId="0" fontId="0" fillId="7" borderId="122" xfId="0" applyFill="1" applyBorder="1" applyAlignment="1">
      <alignment horizontal="center" vertical="center" wrapText="1"/>
    </xf>
    <xf numFmtId="0" fontId="0" fillId="7" borderId="99" xfId="0" applyFill="1" applyBorder="1" applyAlignment="1">
      <alignment horizontal="center" vertical="center" wrapText="1"/>
    </xf>
    <xf numFmtId="0" fontId="0" fillId="7" borderId="120" xfId="0" applyFill="1" applyBorder="1" applyAlignment="1">
      <alignment horizontal="center" vertical="center" wrapText="1"/>
    </xf>
    <xf numFmtId="0" fontId="0" fillId="7" borderId="121" xfId="0" applyFill="1" applyBorder="1" applyAlignment="1">
      <alignment horizontal="center" vertical="center" wrapText="1"/>
    </xf>
    <xf numFmtId="176" fontId="6" fillId="2" borderId="29" xfId="0" applyNumberFormat="1" applyFont="1" applyFill="1" applyBorder="1" applyAlignment="1">
      <alignment horizontal="center" vertical="center"/>
    </xf>
    <xf numFmtId="176" fontId="6" fillId="2" borderId="30" xfId="0" applyNumberFormat="1" applyFont="1" applyFill="1" applyBorder="1" applyAlignment="1">
      <alignment horizontal="center" vertical="center"/>
    </xf>
    <xf numFmtId="176" fontId="6" fillId="2" borderId="31" xfId="0" applyNumberFormat="1" applyFont="1" applyFill="1" applyBorder="1" applyAlignment="1">
      <alignment horizontal="center" vertical="center"/>
    </xf>
    <xf numFmtId="0" fontId="0" fillId="0" borderId="69" xfId="0" applyBorder="1" applyAlignment="1">
      <alignment vertical="top" wrapText="1"/>
    </xf>
    <xf numFmtId="0" fontId="0" fillId="0" borderId="69" xfId="0" applyBorder="1" applyAlignment="1">
      <alignment vertical="top"/>
    </xf>
    <xf numFmtId="0" fontId="0" fillId="0" borderId="70" xfId="0" applyBorder="1" applyAlignment="1">
      <alignment vertical="top"/>
    </xf>
    <xf numFmtId="0" fontId="0" fillId="0" borderId="75" xfId="0" applyBorder="1" applyAlignment="1">
      <alignment vertical="top"/>
    </xf>
    <xf numFmtId="0" fontId="0" fillId="0" borderId="76" xfId="0" applyBorder="1" applyAlignment="1">
      <alignment vertical="top"/>
    </xf>
    <xf numFmtId="0" fontId="0" fillId="0" borderId="78" xfId="0" applyBorder="1" applyAlignment="1">
      <alignment vertical="top"/>
    </xf>
    <xf numFmtId="0" fontId="0" fillId="0" borderId="79" xfId="0" applyBorder="1" applyAlignment="1">
      <alignment vertical="top"/>
    </xf>
    <xf numFmtId="0" fontId="6" fillId="2" borderId="71" xfId="0" applyFont="1" applyFill="1" applyBorder="1" applyAlignment="1">
      <alignment horizontal="center" vertical="center"/>
    </xf>
    <xf numFmtId="0" fontId="6" fillId="2" borderId="74" xfId="0" applyFont="1" applyFill="1" applyBorder="1" applyAlignment="1">
      <alignment horizontal="center" vertical="center"/>
    </xf>
    <xf numFmtId="0" fontId="6" fillId="2" borderId="77" xfId="0" applyFont="1" applyFill="1" applyBorder="1" applyAlignment="1">
      <alignment horizontal="center" vertical="center"/>
    </xf>
    <xf numFmtId="177" fontId="3" fillId="4" borderId="5" xfId="0" applyNumberFormat="1" applyFont="1" applyFill="1" applyBorder="1" applyAlignment="1">
      <alignment horizontal="center" vertical="center"/>
    </xf>
    <xf numFmtId="0" fontId="8" fillId="3" borderId="56" xfId="0" applyFont="1" applyFill="1" applyBorder="1" applyAlignment="1">
      <alignment horizontal="center" vertical="center"/>
    </xf>
    <xf numFmtId="181" fontId="3" fillId="8" borderId="55" xfId="0" applyNumberFormat="1" applyFont="1" applyFill="1" applyBorder="1" applyAlignment="1">
      <alignment horizontal="center" vertical="center"/>
    </xf>
    <xf numFmtId="181" fontId="3" fillId="8" borderId="50" xfId="0" applyNumberFormat="1" applyFont="1" applyFill="1" applyBorder="1" applyAlignment="1">
      <alignment horizontal="center" vertical="center"/>
    </xf>
    <xf numFmtId="181" fontId="3" fillId="8" borderId="56" xfId="0" applyNumberFormat="1" applyFont="1" applyFill="1" applyBorder="1" applyAlignment="1">
      <alignment horizontal="center" vertical="center"/>
    </xf>
    <xf numFmtId="182" fontId="3" fillId="4" borderId="45" xfId="0" applyNumberFormat="1" applyFont="1" applyFill="1" applyBorder="1" applyAlignment="1">
      <alignment horizontal="center" vertical="center"/>
    </xf>
    <xf numFmtId="182" fontId="3" fillId="4" borderId="62" xfId="0" applyNumberFormat="1" applyFont="1" applyFill="1" applyBorder="1" applyAlignment="1">
      <alignment horizontal="center" vertical="center"/>
    </xf>
    <xf numFmtId="182" fontId="3" fillId="4" borderId="17" xfId="0" applyNumberFormat="1" applyFont="1" applyFill="1" applyBorder="1" applyAlignment="1">
      <alignment horizontal="center" vertical="center"/>
    </xf>
    <xf numFmtId="182" fontId="3" fillId="4" borderId="44" xfId="0" applyNumberFormat="1" applyFont="1" applyFill="1" applyBorder="1" applyAlignment="1">
      <alignment horizontal="center" vertical="center"/>
    </xf>
    <xf numFmtId="182" fontId="3" fillId="4" borderId="60" xfId="0" applyNumberFormat="1" applyFont="1" applyFill="1" applyBorder="1" applyAlignment="1">
      <alignment horizontal="center" vertical="center"/>
    </xf>
    <xf numFmtId="182" fontId="3" fillId="4" borderId="18" xfId="0" applyNumberFormat="1" applyFont="1" applyFill="1" applyBorder="1" applyAlignment="1">
      <alignment horizontal="center" vertical="center"/>
    </xf>
    <xf numFmtId="182" fontId="3" fillId="8" borderId="45" xfId="0" applyNumberFormat="1" applyFont="1" applyFill="1" applyBorder="1" applyAlignment="1">
      <alignment horizontal="center" vertical="center"/>
    </xf>
    <xf numFmtId="182" fontId="3" fillId="8" borderId="62" xfId="0" applyNumberFormat="1" applyFont="1" applyFill="1" applyBorder="1" applyAlignment="1">
      <alignment horizontal="center" vertical="center"/>
    </xf>
    <xf numFmtId="182" fontId="3" fillId="8" borderId="63" xfId="0" applyNumberFormat="1" applyFont="1" applyFill="1" applyBorder="1" applyAlignment="1">
      <alignment horizontal="center" vertical="center"/>
    </xf>
    <xf numFmtId="182" fontId="3" fillId="8" borderId="44" xfId="0" applyNumberFormat="1" applyFont="1" applyFill="1" applyBorder="1" applyAlignment="1">
      <alignment horizontal="center" vertical="center"/>
    </xf>
    <xf numFmtId="182" fontId="3" fillId="8" borderId="60" xfId="0" applyNumberFormat="1" applyFont="1" applyFill="1" applyBorder="1" applyAlignment="1">
      <alignment horizontal="center" vertical="center"/>
    </xf>
    <xf numFmtId="182" fontId="3" fillId="8" borderId="61" xfId="0" applyNumberFormat="1" applyFont="1" applyFill="1" applyBorder="1" applyAlignment="1">
      <alignment horizontal="center" vertical="center"/>
    </xf>
    <xf numFmtId="3" fontId="3" fillId="4" borderId="55" xfId="0" applyNumberFormat="1" applyFont="1" applyFill="1" applyBorder="1" applyAlignment="1">
      <alignment horizontal="center" vertical="center"/>
    </xf>
    <xf numFmtId="3" fontId="3" fillId="4" borderId="50" xfId="0" applyNumberFormat="1" applyFont="1" applyFill="1" applyBorder="1" applyAlignment="1">
      <alignment horizontal="center" vertical="center"/>
    </xf>
    <xf numFmtId="3" fontId="3" fillId="4" borderId="48" xfId="0" applyNumberFormat="1" applyFont="1" applyFill="1" applyBorder="1" applyAlignment="1">
      <alignment horizontal="center" vertical="center"/>
    </xf>
    <xf numFmtId="178" fontId="3" fillId="4" borderId="55" xfId="1" applyNumberFormat="1" applyFont="1" applyFill="1" applyBorder="1" applyAlignment="1">
      <alignment horizontal="center" vertical="center"/>
    </xf>
    <xf numFmtId="178" fontId="3" fillId="4" borderId="50" xfId="1" applyNumberFormat="1" applyFont="1" applyFill="1" applyBorder="1" applyAlignment="1">
      <alignment horizontal="center" vertical="center"/>
    </xf>
    <xf numFmtId="178" fontId="3" fillId="4" borderId="48" xfId="1" applyNumberFormat="1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65" xfId="0" applyFont="1" applyFill="1" applyBorder="1" applyAlignment="1">
      <alignment horizontal="center" vertical="center" wrapText="1"/>
    </xf>
    <xf numFmtId="0" fontId="6" fillId="2" borderId="38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6" fillId="2" borderId="47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vertical="center" wrapText="1"/>
    </xf>
    <xf numFmtId="0" fontId="8" fillId="3" borderId="3" xfId="0" applyFont="1" applyFill="1" applyBorder="1" applyAlignment="1">
      <alignment vertical="center" wrapText="1"/>
    </xf>
    <xf numFmtId="0" fontId="3" fillId="8" borderId="45" xfId="0" applyFont="1" applyFill="1" applyBorder="1" applyAlignment="1">
      <alignment vertical="top"/>
    </xf>
    <xf numFmtId="0" fontId="3" fillId="8" borderId="62" xfId="0" applyFont="1" applyFill="1" applyBorder="1" applyAlignment="1">
      <alignment vertical="top"/>
    </xf>
    <xf numFmtId="0" fontId="3" fillId="8" borderId="63" xfId="0" applyFont="1" applyFill="1" applyBorder="1" applyAlignment="1">
      <alignment vertical="top"/>
    </xf>
    <xf numFmtId="0" fontId="3" fillId="8" borderId="46" xfId="0" applyFont="1" applyFill="1" applyBorder="1" applyAlignment="1">
      <alignment vertical="top"/>
    </xf>
    <xf numFmtId="0" fontId="3" fillId="8" borderId="0" xfId="0" applyFont="1" applyFill="1" applyAlignment="1">
      <alignment vertical="top"/>
    </xf>
    <xf numFmtId="0" fontId="3" fillId="8" borderId="53" xfId="0" applyFont="1" applyFill="1" applyBorder="1" applyAlignment="1">
      <alignment vertical="top"/>
    </xf>
    <xf numFmtId="0" fontId="3" fillId="8" borderId="52" xfId="0" applyFont="1" applyFill="1" applyBorder="1" applyAlignment="1">
      <alignment vertical="top"/>
    </xf>
    <xf numFmtId="0" fontId="3" fillId="8" borderId="47" xfId="0" applyFont="1" applyFill="1" applyBorder="1" applyAlignment="1">
      <alignment vertical="top"/>
    </xf>
    <xf numFmtId="0" fontId="3" fillId="8" borderId="54" xfId="0" applyFont="1" applyFill="1" applyBorder="1" applyAlignment="1">
      <alignment vertical="top"/>
    </xf>
    <xf numFmtId="0" fontId="3" fillId="0" borderId="45" xfId="0" applyFont="1" applyBorder="1" applyAlignment="1">
      <alignment vertical="top"/>
    </xf>
    <xf numFmtId="0" fontId="3" fillId="0" borderId="17" xfId="0" applyFont="1" applyBorder="1" applyAlignment="1">
      <alignment vertical="top"/>
    </xf>
    <xf numFmtId="0" fontId="3" fillId="0" borderId="19" xfId="0" applyFont="1" applyBorder="1" applyAlignment="1">
      <alignment vertical="top"/>
    </xf>
    <xf numFmtId="0" fontId="3" fillId="0" borderId="18" xfId="0" applyFont="1" applyBorder="1" applyAlignment="1">
      <alignment vertical="top"/>
    </xf>
    <xf numFmtId="0" fontId="8" fillId="8" borderId="46" xfId="0" applyFont="1" applyFill="1" applyBorder="1">
      <alignment vertical="center"/>
    </xf>
    <xf numFmtId="0" fontId="8" fillId="8" borderId="0" xfId="0" applyFont="1" applyFill="1">
      <alignment vertical="center"/>
    </xf>
    <xf numFmtId="0" fontId="8" fillId="8" borderId="53" xfId="0" applyFont="1" applyFill="1" applyBorder="1">
      <alignment vertical="center"/>
    </xf>
    <xf numFmtId="0" fontId="8" fillId="8" borderId="52" xfId="0" applyFont="1" applyFill="1" applyBorder="1">
      <alignment vertical="center"/>
    </xf>
    <xf numFmtId="0" fontId="8" fillId="8" borderId="47" xfId="0" applyFont="1" applyFill="1" applyBorder="1">
      <alignment vertical="center"/>
    </xf>
    <xf numFmtId="0" fontId="8" fillId="8" borderId="54" xfId="0" applyFont="1" applyFill="1" applyBorder="1">
      <alignment vertical="center"/>
    </xf>
    <xf numFmtId="0" fontId="8" fillId="3" borderId="45" xfId="0" applyFont="1" applyFill="1" applyBorder="1" applyAlignment="1">
      <alignment horizontal="center" vertical="center"/>
    </xf>
    <xf numFmtId="0" fontId="8" fillId="3" borderId="62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44" xfId="0" applyFont="1" applyFill="1" applyBorder="1" applyAlignment="1">
      <alignment horizontal="center" vertical="center"/>
    </xf>
    <xf numFmtId="0" fontId="8" fillId="3" borderId="60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3" fillId="4" borderId="45" xfId="0" applyFont="1" applyFill="1" applyBorder="1">
      <alignment vertical="center"/>
    </xf>
    <xf numFmtId="0" fontId="3" fillId="4" borderId="62" xfId="0" applyFont="1" applyFill="1" applyBorder="1">
      <alignment vertical="center"/>
    </xf>
    <xf numFmtId="0" fontId="3" fillId="4" borderId="63" xfId="0" applyFont="1" applyFill="1" applyBorder="1">
      <alignment vertical="center"/>
    </xf>
    <xf numFmtId="0" fontId="3" fillId="8" borderId="5" xfId="0" applyFont="1" applyFill="1" applyBorder="1" applyAlignment="1">
      <alignment vertical="top"/>
    </xf>
    <xf numFmtId="0" fontId="3" fillId="8" borderId="6" xfId="0" applyFont="1" applyFill="1" applyBorder="1" applyAlignment="1">
      <alignment vertical="top"/>
    </xf>
    <xf numFmtId="0" fontId="8" fillId="3" borderId="48" xfId="0" applyFont="1" applyFill="1" applyBorder="1">
      <alignment vertical="center"/>
    </xf>
    <xf numFmtId="181" fontId="3" fillId="4" borderId="55" xfId="0" applyNumberFormat="1" applyFont="1" applyFill="1" applyBorder="1" applyAlignment="1">
      <alignment horizontal="center" vertical="center"/>
    </xf>
    <xf numFmtId="181" fontId="3" fillId="4" borderId="50" xfId="0" applyNumberFormat="1" applyFont="1" applyFill="1" applyBorder="1" applyAlignment="1">
      <alignment horizontal="center" vertical="center"/>
    </xf>
    <xf numFmtId="181" fontId="3" fillId="4" borderId="48" xfId="0" applyNumberFormat="1" applyFont="1" applyFill="1" applyBorder="1" applyAlignment="1">
      <alignment horizontal="center" vertical="center"/>
    </xf>
    <xf numFmtId="0" fontId="3" fillId="4" borderId="45" xfId="0" applyFont="1" applyFill="1" applyBorder="1" applyAlignment="1">
      <alignment vertical="center" wrapText="1"/>
    </xf>
    <xf numFmtId="0" fontId="3" fillId="4" borderId="62" xfId="0" applyFont="1" applyFill="1" applyBorder="1" applyAlignment="1">
      <alignment vertical="center" wrapText="1"/>
    </xf>
    <xf numFmtId="0" fontId="3" fillId="4" borderId="63" xfId="0" applyFont="1" applyFill="1" applyBorder="1" applyAlignment="1">
      <alignment vertical="center" wrapText="1"/>
    </xf>
    <xf numFmtId="0" fontId="3" fillId="4" borderId="46" xfId="0" applyFont="1" applyFill="1" applyBorder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3" fillId="4" borderId="53" xfId="0" applyFont="1" applyFill="1" applyBorder="1" applyAlignment="1">
      <alignment vertical="center" wrapText="1"/>
    </xf>
    <xf numFmtId="0" fontId="3" fillId="4" borderId="44" xfId="0" applyFont="1" applyFill="1" applyBorder="1" applyAlignment="1">
      <alignment vertical="center" wrapText="1"/>
    </xf>
    <xf numFmtId="0" fontId="3" fillId="4" borderId="60" xfId="0" applyFont="1" applyFill="1" applyBorder="1" applyAlignment="1">
      <alignment vertical="center" wrapText="1"/>
    </xf>
    <xf numFmtId="0" fontId="3" fillId="4" borderId="61" xfId="0" applyFont="1" applyFill="1" applyBorder="1" applyAlignment="1">
      <alignment vertical="center" wrapText="1"/>
    </xf>
    <xf numFmtId="0" fontId="3" fillId="4" borderId="2" xfId="0" applyFont="1" applyFill="1" applyBorder="1">
      <alignment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8" borderId="44" xfId="0" applyFont="1" applyFill="1" applyBorder="1" applyAlignment="1">
      <alignment vertical="top"/>
    </xf>
    <xf numFmtId="0" fontId="3" fillId="8" borderId="60" xfId="0" applyFont="1" applyFill="1" applyBorder="1" applyAlignment="1">
      <alignment vertical="top"/>
    </xf>
    <xf numFmtId="0" fontId="3" fillId="8" borderId="61" xfId="0" applyFont="1" applyFill="1" applyBorder="1" applyAlignment="1">
      <alignment vertical="top"/>
    </xf>
    <xf numFmtId="0" fontId="6" fillId="2" borderId="12" xfId="0" applyFont="1" applyFill="1" applyBorder="1" applyAlignment="1">
      <alignment horizontal="center" vertical="center"/>
    </xf>
    <xf numFmtId="0" fontId="6" fillId="2" borderId="65" xfId="0" applyFont="1" applyFill="1" applyBorder="1" applyAlignment="1">
      <alignment horizontal="center" vertical="center"/>
    </xf>
    <xf numFmtId="0" fontId="6" fillId="2" borderId="38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60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6" fillId="2" borderId="66" xfId="0" applyFont="1" applyFill="1" applyBorder="1" applyAlignment="1">
      <alignment horizontal="center" vertical="center"/>
    </xf>
    <xf numFmtId="0" fontId="6" fillId="2" borderId="50" xfId="0" applyFont="1" applyFill="1" applyBorder="1" applyAlignment="1">
      <alignment horizontal="center" vertical="center"/>
    </xf>
    <xf numFmtId="0" fontId="6" fillId="2" borderId="48" xfId="0" applyFont="1" applyFill="1" applyBorder="1" applyAlignment="1">
      <alignment horizontal="center" vertical="center"/>
    </xf>
    <xf numFmtId="0" fontId="3" fillId="8" borderId="45" xfId="0" applyFont="1" applyFill="1" applyBorder="1">
      <alignment vertical="center"/>
    </xf>
    <xf numFmtId="0" fontId="3" fillId="8" borderId="62" xfId="0" applyFont="1" applyFill="1" applyBorder="1">
      <alignment vertical="center"/>
    </xf>
    <xf numFmtId="0" fontId="3" fillId="8" borderId="63" xfId="0" applyFont="1" applyFill="1" applyBorder="1">
      <alignment vertical="center"/>
    </xf>
    <xf numFmtId="0" fontId="3" fillId="8" borderId="46" xfId="0" applyFont="1" applyFill="1" applyBorder="1">
      <alignment vertical="center"/>
    </xf>
    <xf numFmtId="0" fontId="3" fillId="8" borderId="0" xfId="0" applyFont="1" applyFill="1">
      <alignment vertical="center"/>
    </xf>
    <xf numFmtId="0" fontId="3" fillId="8" borderId="53" xfId="0" applyFont="1" applyFill="1" applyBorder="1">
      <alignment vertical="center"/>
    </xf>
    <xf numFmtId="0" fontId="3" fillId="8" borderId="44" xfId="0" applyFont="1" applyFill="1" applyBorder="1">
      <alignment vertical="center"/>
    </xf>
    <xf numFmtId="0" fontId="3" fillId="8" borderId="60" xfId="0" applyFont="1" applyFill="1" applyBorder="1">
      <alignment vertical="center"/>
    </xf>
    <xf numFmtId="0" fontId="3" fillId="8" borderId="61" xfId="0" applyFont="1" applyFill="1" applyBorder="1">
      <alignment vertical="center"/>
    </xf>
    <xf numFmtId="0" fontId="6" fillId="2" borderId="4" xfId="0" applyFont="1" applyFill="1" applyBorder="1" applyAlignment="1">
      <alignment horizontal="center" vertical="center" textRotation="255"/>
    </xf>
    <xf numFmtId="0" fontId="6" fillId="2" borderId="7" xfId="0" applyFont="1" applyFill="1" applyBorder="1" applyAlignment="1">
      <alignment horizontal="center" vertical="center" textRotation="255"/>
    </xf>
    <xf numFmtId="0" fontId="6" fillId="2" borderId="67" xfId="0" applyFont="1" applyFill="1" applyBorder="1" applyAlignment="1">
      <alignment horizontal="center" vertical="center"/>
    </xf>
    <xf numFmtId="0" fontId="6" fillId="2" borderId="51" xfId="0" applyFont="1" applyFill="1" applyBorder="1" applyAlignment="1">
      <alignment horizontal="center" vertical="center"/>
    </xf>
    <xf numFmtId="0" fontId="6" fillId="2" borderId="49" xfId="0" applyFont="1" applyFill="1" applyBorder="1" applyAlignment="1">
      <alignment horizontal="center" vertical="center"/>
    </xf>
    <xf numFmtId="0" fontId="6" fillId="2" borderId="43" xfId="0" applyFont="1" applyFill="1" applyBorder="1" applyAlignment="1">
      <alignment horizontal="center" vertical="center"/>
    </xf>
    <xf numFmtId="0" fontId="6" fillId="2" borderId="44" xfId="0" applyFont="1" applyFill="1" applyBorder="1" applyAlignment="1">
      <alignment horizontal="center" vertical="center"/>
    </xf>
    <xf numFmtId="0" fontId="3" fillId="3" borderId="57" xfId="0" applyFont="1" applyFill="1" applyBorder="1" applyAlignment="1">
      <alignment horizontal="center" vertical="center"/>
    </xf>
    <xf numFmtId="0" fontId="3" fillId="3" borderId="51" xfId="0" applyFont="1" applyFill="1" applyBorder="1" applyAlignment="1">
      <alignment horizontal="center" vertical="center"/>
    </xf>
    <xf numFmtId="0" fontId="3" fillId="3" borderId="49" xfId="0" applyFont="1" applyFill="1" applyBorder="1" applyAlignment="1">
      <alignment horizontal="center" vertical="center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8" xfId="0" applyFont="1" applyBorder="1">
      <alignment vertical="center"/>
    </xf>
    <xf numFmtId="0" fontId="3" fillId="0" borderId="9" xfId="0" applyFont="1" applyBorder="1">
      <alignment vertical="center"/>
    </xf>
    <xf numFmtId="177" fontId="5" fillId="0" borderId="55" xfId="0" applyNumberFormat="1" applyFont="1" applyBorder="1">
      <alignment vertical="center"/>
    </xf>
    <xf numFmtId="177" fontId="5" fillId="0" borderId="48" xfId="0" applyNumberFormat="1" applyFont="1" applyBorder="1">
      <alignment vertical="center"/>
    </xf>
    <xf numFmtId="0" fontId="5" fillId="4" borderId="55" xfId="0" applyFont="1" applyFill="1" applyBorder="1">
      <alignment vertical="center"/>
    </xf>
    <xf numFmtId="0" fontId="5" fillId="4" borderId="48" xfId="0" applyFont="1" applyFill="1" applyBorder="1">
      <alignment vertical="center"/>
    </xf>
    <xf numFmtId="0" fontId="5" fillId="0" borderId="55" xfId="0" applyFont="1" applyBorder="1" applyAlignment="1">
      <alignment horizontal="center" vertical="center"/>
    </xf>
    <xf numFmtId="0" fontId="5" fillId="0" borderId="50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4" fillId="2" borderId="43" xfId="0" applyFont="1" applyFill="1" applyBorder="1" applyAlignment="1">
      <alignment horizontal="center" vertical="center"/>
    </xf>
    <xf numFmtId="0" fontId="4" fillId="2" borderId="65" xfId="0" applyFont="1" applyFill="1" applyBorder="1" applyAlignment="1">
      <alignment horizontal="center" vertical="center"/>
    </xf>
    <xf numFmtId="0" fontId="4" fillId="2" borderId="68" xfId="0" applyFont="1" applyFill="1" applyBorder="1" applyAlignment="1">
      <alignment horizontal="center" vertical="center"/>
    </xf>
    <xf numFmtId="0" fontId="4" fillId="2" borderId="44" xfId="0" applyFont="1" applyFill="1" applyBorder="1" applyAlignment="1">
      <alignment horizontal="center" vertical="center"/>
    </xf>
    <xf numFmtId="0" fontId="4" fillId="2" borderId="60" xfId="0" applyFont="1" applyFill="1" applyBorder="1" applyAlignment="1">
      <alignment horizontal="center" vertical="center"/>
    </xf>
    <xf numFmtId="0" fontId="4" fillId="2" borderId="61" xfId="0" applyFont="1" applyFill="1" applyBorder="1" applyAlignment="1">
      <alignment horizontal="center" vertical="center"/>
    </xf>
    <xf numFmtId="180" fontId="5" fillId="0" borderId="45" xfId="0" applyNumberFormat="1" applyFont="1" applyBorder="1">
      <alignment vertical="center"/>
    </xf>
    <xf numFmtId="180" fontId="5" fillId="0" borderId="17" xfId="0" applyNumberFormat="1" applyFont="1" applyBorder="1">
      <alignment vertical="center"/>
    </xf>
    <xf numFmtId="180" fontId="5" fillId="0" borderId="46" xfId="0" applyNumberFormat="1" applyFont="1" applyBorder="1">
      <alignment vertical="center"/>
    </xf>
    <xf numFmtId="180" fontId="5" fillId="0" borderId="19" xfId="0" applyNumberFormat="1" applyFont="1" applyBorder="1">
      <alignment vertical="center"/>
    </xf>
    <xf numFmtId="180" fontId="5" fillId="0" borderId="52" xfId="0" applyNumberFormat="1" applyFont="1" applyBorder="1">
      <alignment vertical="center"/>
    </xf>
    <xf numFmtId="180" fontId="5" fillId="0" borderId="21" xfId="0" applyNumberFormat="1" applyFont="1" applyBorder="1">
      <alignment vertical="center"/>
    </xf>
    <xf numFmtId="0" fontId="5" fillId="0" borderId="8" xfId="0" applyFont="1" applyBorder="1">
      <alignment vertical="center"/>
    </xf>
    <xf numFmtId="0" fontId="5" fillId="0" borderId="57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5" fillId="0" borderId="58" xfId="0" applyFont="1" applyBorder="1" applyAlignment="1">
      <alignment horizontal="center" vertical="center"/>
    </xf>
    <xf numFmtId="0" fontId="5" fillId="4" borderId="57" xfId="0" applyFont="1" applyFill="1" applyBorder="1">
      <alignment vertical="center"/>
    </xf>
    <xf numFmtId="0" fontId="5" fillId="4" borderId="49" xfId="0" applyFont="1" applyFill="1" applyBorder="1">
      <alignment vertical="center"/>
    </xf>
    <xf numFmtId="177" fontId="5" fillId="0" borderId="8" xfId="0" applyNumberFormat="1" applyFont="1" applyBorder="1">
      <alignment vertical="center"/>
    </xf>
    <xf numFmtId="0" fontId="4" fillId="2" borderId="38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177" fontId="5" fillId="0" borderId="5" xfId="0" applyNumberFormat="1" applyFont="1" applyBorder="1">
      <alignment vertical="center"/>
    </xf>
    <xf numFmtId="0" fontId="3" fillId="0" borderId="3" xfId="0" applyFont="1" applyBorder="1">
      <alignment vertical="center"/>
    </xf>
    <xf numFmtId="0" fontId="3" fillId="4" borderId="17" xfId="0" applyFont="1" applyFill="1" applyBorder="1">
      <alignment vertical="center"/>
    </xf>
    <xf numFmtId="0" fontId="8" fillId="8" borderId="5" xfId="0" applyFont="1" applyFill="1" applyBorder="1">
      <alignment vertical="center"/>
    </xf>
    <xf numFmtId="0" fontId="8" fillId="8" borderId="6" xfId="0" applyFont="1" applyFill="1" applyBorder="1">
      <alignment vertical="center"/>
    </xf>
  </cellXfs>
  <cellStyles count="2">
    <cellStyle name="百分比" xfId="1" builtinId="5"/>
    <cellStyle name="常规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FF"/>
      <color rgb="FFF79646"/>
      <color rgb="FFFDE9D9"/>
      <color rgb="FFE26B0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183923</xdr:colOff>
      <xdr:row>14</xdr:row>
      <xdr:rowOff>9815</xdr:rowOff>
    </xdr:from>
    <xdr:to>
      <xdr:col>5</xdr:col>
      <xdr:colOff>266338</xdr:colOff>
      <xdr:row>18</xdr:row>
      <xdr:rowOff>188735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1B771B6F-E0FC-4AD3-A511-99EE1B37AE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8873" y="3356265"/>
          <a:ext cx="1377815" cy="1194920"/>
        </a:xfrm>
        <a:prstGeom prst="rect">
          <a:avLst/>
        </a:prstGeom>
      </xdr:spPr>
    </xdr:pic>
    <xdr:clientData/>
  </xdr:twoCellAnchor>
  <xdr:twoCellAnchor editAs="oneCell">
    <xdr:from>
      <xdr:col>0</xdr:col>
      <xdr:colOff>72137</xdr:colOff>
      <xdr:row>34</xdr:row>
      <xdr:rowOff>182990</xdr:rowOff>
    </xdr:from>
    <xdr:to>
      <xdr:col>6</xdr:col>
      <xdr:colOff>174923</xdr:colOff>
      <xdr:row>39</xdr:row>
      <xdr:rowOff>235937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77D9F7B2-986E-419D-BF7C-08F781FF16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137" y="8355440"/>
          <a:ext cx="1956986" cy="1322947"/>
        </a:xfrm>
        <a:prstGeom prst="rect">
          <a:avLst/>
        </a:prstGeom>
      </xdr:spPr>
    </xdr:pic>
    <xdr:clientData/>
  </xdr:twoCellAnchor>
  <xdr:twoCellAnchor editAs="oneCell">
    <xdr:from>
      <xdr:col>0</xdr:col>
      <xdr:colOff>50800</xdr:colOff>
      <xdr:row>23</xdr:row>
      <xdr:rowOff>76200</xdr:rowOff>
    </xdr:from>
    <xdr:to>
      <xdr:col>6</xdr:col>
      <xdr:colOff>196261</xdr:colOff>
      <xdr:row>28</xdr:row>
      <xdr:rowOff>37699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751E2294-D524-47C5-93D4-CB56874D9C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00" y="5454650"/>
          <a:ext cx="1999661" cy="12314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44823</xdr:colOff>
      <xdr:row>2</xdr:row>
      <xdr:rowOff>100854</xdr:rowOff>
    </xdr:from>
    <xdr:to>
      <xdr:col>7</xdr:col>
      <xdr:colOff>875108</xdr:colOff>
      <xdr:row>3</xdr:row>
      <xdr:rowOff>162392</xdr:rowOff>
    </xdr:to>
    <xdr:sp macro="" textlink="">
      <xdr:nvSpPr>
        <xdr:cNvPr id="2" name="箭头: 右 1">
          <a:extLst>
            <a:ext uri="{FF2B5EF4-FFF2-40B4-BE49-F238E27FC236}">
              <a16:creationId xmlns:a16="http://schemas.microsoft.com/office/drawing/2014/main" id="{4BC76FD6-2F73-4FA6-88D6-F7863A6F8A2F}"/>
            </a:ext>
          </a:extLst>
        </xdr:cNvPr>
        <xdr:cNvSpPr/>
      </xdr:nvSpPr>
      <xdr:spPr>
        <a:xfrm>
          <a:off x="3092823" y="577104"/>
          <a:ext cx="830285" cy="263944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702469</xdr:colOff>
      <xdr:row>4</xdr:row>
      <xdr:rowOff>89647</xdr:rowOff>
    </xdr:from>
    <xdr:to>
      <xdr:col>8</xdr:col>
      <xdr:colOff>381000</xdr:colOff>
      <xdr:row>5</xdr:row>
      <xdr:rowOff>151185</xdr:rowOff>
    </xdr:to>
    <xdr:sp macro="" textlink="">
      <xdr:nvSpPr>
        <xdr:cNvPr id="3" name="箭头: 右 2">
          <a:extLst>
            <a:ext uri="{FF2B5EF4-FFF2-40B4-BE49-F238E27FC236}">
              <a16:creationId xmlns:a16="http://schemas.microsoft.com/office/drawing/2014/main" id="{005E7F7E-D714-4D77-B904-6194DAB16E45}"/>
            </a:ext>
          </a:extLst>
        </xdr:cNvPr>
        <xdr:cNvSpPr/>
      </xdr:nvSpPr>
      <xdr:spPr>
        <a:xfrm>
          <a:off x="3750469" y="958803"/>
          <a:ext cx="619125" cy="26394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278424</xdr:colOff>
      <xdr:row>6</xdr:row>
      <xdr:rowOff>95250</xdr:rowOff>
    </xdr:from>
    <xdr:to>
      <xdr:col>8</xdr:col>
      <xdr:colOff>902128</xdr:colOff>
      <xdr:row>7</xdr:row>
      <xdr:rowOff>164115</xdr:rowOff>
    </xdr:to>
    <xdr:sp macro="" textlink="">
      <xdr:nvSpPr>
        <xdr:cNvPr id="4" name="箭头: 右 3">
          <a:extLst>
            <a:ext uri="{FF2B5EF4-FFF2-40B4-BE49-F238E27FC236}">
              <a16:creationId xmlns:a16="http://schemas.microsoft.com/office/drawing/2014/main" id="{D59EBD97-C79B-412E-A42F-55C7A3D5AE66}"/>
            </a:ext>
          </a:extLst>
        </xdr:cNvPr>
        <xdr:cNvSpPr/>
      </xdr:nvSpPr>
      <xdr:spPr>
        <a:xfrm>
          <a:off x="4286251" y="1355481"/>
          <a:ext cx="623704" cy="25936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44823</xdr:colOff>
      <xdr:row>8</xdr:row>
      <xdr:rowOff>89647</xdr:rowOff>
    </xdr:from>
    <xdr:to>
      <xdr:col>10</xdr:col>
      <xdr:colOff>836542</xdr:colOff>
      <xdr:row>9</xdr:row>
      <xdr:rowOff>158512</xdr:rowOff>
    </xdr:to>
    <xdr:sp macro="" textlink="">
      <xdr:nvSpPr>
        <xdr:cNvPr id="5" name="箭头: 右 4">
          <a:extLst>
            <a:ext uri="{FF2B5EF4-FFF2-40B4-BE49-F238E27FC236}">
              <a16:creationId xmlns:a16="http://schemas.microsoft.com/office/drawing/2014/main" id="{71D1D9F1-EE03-4BEF-AB76-613B7E6D6A00}"/>
            </a:ext>
          </a:extLst>
        </xdr:cNvPr>
        <xdr:cNvSpPr/>
      </xdr:nvSpPr>
      <xdr:spPr>
        <a:xfrm>
          <a:off x="4972975" y="1746169"/>
          <a:ext cx="1735937" cy="25936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74545</xdr:colOff>
      <xdr:row>12</xdr:row>
      <xdr:rowOff>82826</xdr:rowOff>
    </xdr:from>
    <xdr:to>
      <xdr:col>14</xdr:col>
      <xdr:colOff>857982</xdr:colOff>
      <xdr:row>13</xdr:row>
      <xdr:rowOff>143409</xdr:rowOff>
    </xdr:to>
    <xdr:sp macro="" textlink="">
      <xdr:nvSpPr>
        <xdr:cNvPr id="6" name="箭头: 右 5">
          <a:extLst>
            <a:ext uri="{FF2B5EF4-FFF2-40B4-BE49-F238E27FC236}">
              <a16:creationId xmlns:a16="http://schemas.microsoft.com/office/drawing/2014/main" id="{ACD323CA-D504-4600-A4AE-94BCD64AB850}"/>
            </a:ext>
          </a:extLst>
        </xdr:cNvPr>
        <xdr:cNvSpPr/>
      </xdr:nvSpPr>
      <xdr:spPr>
        <a:xfrm>
          <a:off x="8787849" y="2526196"/>
          <a:ext cx="1735937" cy="25936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107674</xdr:colOff>
      <xdr:row>10</xdr:row>
      <xdr:rowOff>91109</xdr:rowOff>
    </xdr:from>
    <xdr:to>
      <xdr:col>12</xdr:col>
      <xdr:colOff>899394</xdr:colOff>
      <xdr:row>11</xdr:row>
      <xdr:rowOff>151691</xdr:rowOff>
    </xdr:to>
    <xdr:sp macro="" textlink="">
      <xdr:nvSpPr>
        <xdr:cNvPr id="7" name="箭头: 右 6">
          <a:extLst>
            <a:ext uri="{FF2B5EF4-FFF2-40B4-BE49-F238E27FC236}">
              <a16:creationId xmlns:a16="http://schemas.microsoft.com/office/drawing/2014/main" id="{5F9997DE-80E2-4218-A3FF-9FE8001B5D5A}"/>
            </a:ext>
          </a:extLst>
        </xdr:cNvPr>
        <xdr:cNvSpPr/>
      </xdr:nvSpPr>
      <xdr:spPr>
        <a:xfrm>
          <a:off x="6924261" y="2136913"/>
          <a:ext cx="1735937" cy="25936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153317</xdr:colOff>
      <xdr:row>17</xdr:row>
      <xdr:rowOff>228600</xdr:rowOff>
    </xdr:from>
    <xdr:to>
      <xdr:col>5</xdr:col>
      <xdr:colOff>235732</xdr:colOff>
      <xdr:row>22</xdr:row>
      <xdr:rowOff>153520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31DA3126-BFE2-4C68-B703-16289B4060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8267" y="4337050"/>
          <a:ext cx="1377815" cy="1194920"/>
        </a:xfrm>
        <a:prstGeom prst="rect">
          <a:avLst/>
        </a:prstGeom>
      </xdr:spPr>
    </xdr:pic>
    <xdr:clientData/>
  </xdr:twoCellAnchor>
  <xdr:twoCellAnchor editAs="oneCell">
    <xdr:from>
      <xdr:col>0</xdr:col>
      <xdr:colOff>105031</xdr:colOff>
      <xdr:row>41</xdr:row>
      <xdr:rowOff>179525</xdr:rowOff>
    </xdr:from>
    <xdr:to>
      <xdr:col>6</xdr:col>
      <xdr:colOff>207817</xdr:colOff>
      <xdr:row>46</xdr:row>
      <xdr:rowOff>232472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966A341F-07E1-4B7F-BB52-70C6BC75C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031" y="8605975"/>
          <a:ext cx="1956986" cy="1322947"/>
        </a:xfrm>
        <a:prstGeom prst="rect">
          <a:avLst/>
        </a:prstGeom>
      </xdr:spPr>
    </xdr:pic>
    <xdr:clientData/>
  </xdr:twoCellAnchor>
  <xdr:twoCellAnchor editAs="oneCell">
    <xdr:from>
      <xdr:col>0</xdr:col>
      <xdr:colOff>83694</xdr:colOff>
      <xdr:row>30</xdr:row>
      <xdr:rowOff>95250</xdr:rowOff>
    </xdr:from>
    <xdr:to>
      <xdr:col>6</xdr:col>
      <xdr:colOff>229155</xdr:colOff>
      <xdr:row>35</xdr:row>
      <xdr:rowOff>56749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1D8D1AE7-D5B4-448A-9705-E0DB051D5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3694" y="5727700"/>
          <a:ext cx="1999661" cy="12314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AE54"/>
  <sheetViews>
    <sheetView topLeftCell="A11" zoomScaleNormal="100" workbookViewId="0">
      <selection activeCell="J36" sqref="J36:L36"/>
    </sheetView>
  </sheetViews>
  <sheetFormatPr baseColWidth="10" defaultColWidth="3.7109375" defaultRowHeight="16"/>
  <cols>
    <col min="1" max="1" width="2.7109375" style="1" customWidth="1"/>
    <col min="2" max="16384" width="3.7109375" style="1"/>
  </cols>
  <sheetData>
    <row r="1" spans="2:31" ht="17" thickBot="1">
      <c r="B1" s="1" t="s">
        <v>72</v>
      </c>
      <c r="D1" s="33"/>
      <c r="E1" s="1" t="s">
        <v>73</v>
      </c>
    </row>
    <row r="2" spans="2:31" ht="20" customHeight="1" thickBot="1">
      <c r="B2" s="202" t="s">
        <v>13</v>
      </c>
      <c r="C2" s="203"/>
      <c r="D2" s="203"/>
      <c r="E2" s="203"/>
      <c r="F2" s="204"/>
      <c r="G2" s="205"/>
      <c r="H2" s="206"/>
      <c r="I2" s="206"/>
      <c r="J2" s="207"/>
      <c r="K2" s="218" t="s">
        <v>15</v>
      </c>
      <c r="L2" s="203"/>
      <c r="M2" s="204"/>
      <c r="N2" s="214"/>
      <c r="O2" s="215"/>
      <c r="P2" s="217"/>
      <c r="Q2" s="218" t="s">
        <v>14</v>
      </c>
      <c r="R2" s="203"/>
      <c r="S2" s="203"/>
      <c r="T2" s="204"/>
      <c r="U2" s="214"/>
      <c r="V2" s="215"/>
      <c r="W2" s="215"/>
      <c r="X2" s="217"/>
      <c r="Y2" s="218" t="s">
        <v>16</v>
      </c>
      <c r="Z2" s="203"/>
      <c r="AA2" s="203"/>
      <c r="AB2" s="204"/>
      <c r="AC2" s="214"/>
      <c r="AD2" s="215"/>
      <c r="AE2" s="216"/>
    </row>
    <row r="3" spans="2:31" ht="8" customHeight="1" thickBot="1"/>
    <row r="4" spans="2:31" ht="20" customHeight="1">
      <c r="B4" s="213" t="s">
        <v>101</v>
      </c>
      <c r="C4" s="208"/>
      <c r="D4" s="208"/>
      <c r="E4" s="208"/>
      <c r="F4" s="208"/>
      <c r="G4" s="209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08" t="s">
        <v>18</v>
      </c>
      <c r="V4" s="208"/>
      <c r="W4" s="208"/>
      <c r="X4" s="208"/>
      <c r="Y4" s="211" t="s">
        <v>105</v>
      </c>
      <c r="Z4" s="211"/>
      <c r="AA4" s="211"/>
      <c r="AB4" s="211"/>
      <c r="AC4" s="211"/>
      <c r="AD4" s="211"/>
      <c r="AE4" s="212"/>
    </row>
    <row r="5" spans="2:31" ht="20" customHeight="1">
      <c r="B5" s="160" t="s">
        <v>100</v>
      </c>
      <c r="C5" s="161"/>
      <c r="D5" s="161"/>
      <c r="E5" s="161"/>
      <c r="F5" s="162"/>
      <c r="G5" s="252"/>
      <c r="H5" s="253"/>
      <c r="I5" s="253"/>
      <c r="J5" s="253"/>
      <c r="K5" s="253"/>
      <c r="L5" s="253"/>
      <c r="M5" s="253"/>
      <c r="N5" s="253"/>
      <c r="O5" s="253"/>
      <c r="P5" s="253"/>
      <c r="Q5" s="253"/>
      <c r="R5" s="253"/>
      <c r="S5" s="253"/>
      <c r="T5" s="253"/>
      <c r="U5" s="253"/>
      <c r="V5" s="253"/>
      <c r="W5" s="253"/>
      <c r="X5" s="253"/>
      <c r="Y5" s="253"/>
      <c r="Z5" s="253"/>
      <c r="AA5" s="253"/>
      <c r="AB5" s="253"/>
      <c r="AC5" s="253"/>
      <c r="AD5" s="253"/>
      <c r="AE5" s="254"/>
    </row>
    <row r="6" spans="2:31" ht="20" customHeight="1">
      <c r="B6" s="160" t="s">
        <v>81</v>
      </c>
      <c r="C6" s="161"/>
      <c r="D6" s="161"/>
      <c r="E6" s="161"/>
      <c r="F6" s="162"/>
      <c r="G6" s="189" t="s">
        <v>104</v>
      </c>
      <c r="H6" s="190"/>
      <c r="I6" s="190"/>
      <c r="J6" s="190"/>
      <c r="K6" s="190"/>
      <c r="L6" s="190"/>
      <c r="M6" s="190"/>
      <c r="N6" s="190"/>
      <c r="O6" s="190"/>
      <c r="P6" s="190"/>
      <c r="Q6" s="190"/>
      <c r="R6" s="190"/>
      <c r="S6" s="190"/>
      <c r="T6" s="190"/>
      <c r="U6" s="190"/>
      <c r="V6" s="190"/>
      <c r="W6" s="190"/>
      <c r="X6" s="190"/>
      <c r="Y6" s="190"/>
      <c r="Z6" s="190"/>
      <c r="AA6" s="190"/>
      <c r="AB6" s="190"/>
      <c r="AC6" s="190"/>
      <c r="AD6" s="190"/>
      <c r="AE6" s="191"/>
    </row>
    <row r="7" spans="2:31" ht="20" customHeight="1">
      <c r="B7" s="183"/>
      <c r="C7" s="184"/>
      <c r="D7" s="184"/>
      <c r="E7" s="184"/>
      <c r="F7" s="185"/>
      <c r="G7" s="192"/>
      <c r="H7" s="193"/>
      <c r="I7" s="193"/>
      <c r="J7" s="193"/>
      <c r="K7" s="193"/>
      <c r="L7" s="193"/>
      <c r="M7" s="193"/>
      <c r="N7" s="193"/>
      <c r="O7" s="193"/>
      <c r="P7" s="193"/>
      <c r="Q7" s="193"/>
      <c r="R7" s="193"/>
      <c r="S7" s="193"/>
      <c r="T7" s="193"/>
      <c r="U7" s="193"/>
      <c r="V7" s="193"/>
      <c r="W7" s="193"/>
      <c r="X7" s="193"/>
      <c r="Y7" s="193"/>
      <c r="Z7" s="193"/>
      <c r="AA7" s="193"/>
      <c r="AB7" s="193"/>
      <c r="AC7" s="193"/>
      <c r="AD7" s="193"/>
      <c r="AE7" s="194"/>
    </row>
    <row r="8" spans="2:31" ht="20" customHeight="1">
      <c r="B8" s="183"/>
      <c r="C8" s="184"/>
      <c r="D8" s="184"/>
      <c r="E8" s="184"/>
      <c r="F8" s="185"/>
      <c r="G8" s="192"/>
      <c r="H8" s="193"/>
      <c r="I8" s="193"/>
      <c r="J8" s="193"/>
      <c r="K8" s="193"/>
      <c r="L8" s="193"/>
      <c r="M8" s="193"/>
      <c r="N8" s="193"/>
      <c r="O8" s="193"/>
      <c r="P8" s="193"/>
      <c r="Q8" s="193"/>
      <c r="R8" s="193"/>
      <c r="S8" s="193"/>
      <c r="T8" s="193"/>
      <c r="U8" s="193"/>
      <c r="V8" s="193"/>
      <c r="W8" s="193"/>
      <c r="X8" s="193"/>
      <c r="Y8" s="193"/>
      <c r="Z8" s="193"/>
      <c r="AA8" s="193"/>
      <c r="AB8" s="193"/>
      <c r="AC8" s="193"/>
      <c r="AD8" s="193"/>
      <c r="AE8" s="194"/>
    </row>
    <row r="9" spans="2:31" ht="20" customHeight="1">
      <c r="B9" s="183"/>
      <c r="C9" s="184"/>
      <c r="D9" s="184"/>
      <c r="E9" s="184"/>
      <c r="F9" s="185"/>
      <c r="G9" s="192"/>
      <c r="H9" s="193"/>
      <c r="I9" s="193"/>
      <c r="J9" s="193"/>
      <c r="K9" s="193"/>
      <c r="L9" s="193"/>
      <c r="M9" s="193"/>
      <c r="N9" s="193"/>
      <c r="O9" s="193"/>
      <c r="P9" s="193"/>
      <c r="Q9" s="193"/>
      <c r="R9" s="193"/>
      <c r="S9" s="193"/>
      <c r="T9" s="193"/>
      <c r="U9" s="193"/>
      <c r="V9" s="193"/>
      <c r="W9" s="193"/>
      <c r="X9" s="193"/>
      <c r="Y9" s="193"/>
      <c r="Z9" s="193"/>
      <c r="AA9" s="193"/>
      <c r="AB9" s="193"/>
      <c r="AC9" s="193"/>
      <c r="AD9" s="193"/>
      <c r="AE9" s="194"/>
    </row>
    <row r="10" spans="2:31" ht="20" customHeight="1">
      <c r="B10" s="186"/>
      <c r="C10" s="187"/>
      <c r="D10" s="187"/>
      <c r="E10" s="187"/>
      <c r="F10" s="188"/>
      <c r="G10" s="195"/>
      <c r="H10" s="196"/>
      <c r="I10" s="196"/>
      <c r="J10" s="196"/>
      <c r="K10" s="196"/>
      <c r="L10" s="196"/>
      <c r="M10" s="196"/>
      <c r="N10" s="196"/>
      <c r="O10" s="196"/>
      <c r="P10" s="196"/>
      <c r="Q10" s="196"/>
      <c r="R10" s="196"/>
      <c r="S10" s="196"/>
      <c r="T10" s="196"/>
      <c r="U10" s="196"/>
      <c r="V10" s="196"/>
      <c r="W10" s="196"/>
      <c r="X10" s="196"/>
      <c r="Y10" s="196"/>
      <c r="Z10" s="196"/>
      <c r="AA10" s="196"/>
      <c r="AB10" s="196"/>
      <c r="AC10" s="196"/>
      <c r="AD10" s="196"/>
      <c r="AE10" s="197"/>
    </row>
    <row r="11" spans="2:31" ht="20" customHeight="1">
      <c r="B11" s="177" t="s">
        <v>80</v>
      </c>
      <c r="C11" s="178"/>
      <c r="D11" s="178"/>
      <c r="E11" s="178"/>
      <c r="F11" s="179"/>
      <c r="G11" s="180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2"/>
    </row>
    <row r="12" spans="2:31" ht="20" customHeight="1">
      <c r="B12" s="139"/>
      <c r="C12" s="140"/>
      <c r="D12" s="140"/>
      <c r="E12" s="140"/>
      <c r="F12" s="141"/>
      <c r="G12" s="235" t="s">
        <v>42</v>
      </c>
      <c r="H12" s="235"/>
      <c r="I12" s="235"/>
      <c r="J12" s="235"/>
      <c r="K12" s="235"/>
      <c r="L12" s="235"/>
      <c r="M12" s="235"/>
      <c r="N12" s="235"/>
      <c r="O12" s="235"/>
      <c r="P12" s="235"/>
      <c r="Q12" s="235"/>
      <c r="R12" s="235"/>
      <c r="S12" s="235"/>
      <c r="T12" s="235"/>
      <c r="U12" s="235"/>
      <c r="V12" s="235"/>
      <c r="W12" s="235"/>
      <c r="X12" s="235"/>
      <c r="Y12" s="235"/>
      <c r="Z12" s="235"/>
      <c r="AA12" s="235"/>
      <c r="AB12" s="235"/>
      <c r="AC12" s="235"/>
      <c r="AD12" s="235"/>
      <c r="AE12" s="236"/>
    </row>
    <row r="13" spans="2:31" ht="20" customHeight="1">
      <c r="B13" s="142"/>
      <c r="C13" s="143"/>
      <c r="D13" s="143"/>
      <c r="E13" s="143"/>
      <c r="F13" s="144"/>
      <c r="G13" s="237" t="s">
        <v>113</v>
      </c>
      <c r="H13" s="238"/>
      <c r="I13" s="238"/>
      <c r="J13" s="238"/>
      <c r="K13" s="238"/>
      <c r="L13" s="238"/>
      <c r="M13" s="238"/>
      <c r="N13" s="238"/>
      <c r="O13" s="238"/>
      <c r="P13" s="238"/>
      <c r="Q13" s="238"/>
      <c r="R13" s="238"/>
      <c r="S13" s="238"/>
      <c r="T13" s="238"/>
      <c r="U13" s="238"/>
      <c r="V13" s="238"/>
      <c r="W13" s="238"/>
      <c r="X13" s="238"/>
      <c r="Y13" s="238"/>
      <c r="Z13" s="238"/>
      <c r="AA13" s="238"/>
      <c r="AB13" s="238"/>
      <c r="AC13" s="238"/>
      <c r="AD13" s="238"/>
      <c r="AE13" s="239"/>
    </row>
    <row r="14" spans="2:31" ht="20" customHeight="1">
      <c r="B14" s="142"/>
      <c r="C14" s="143"/>
      <c r="D14" s="143"/>
      <c r="E14" s="143"/>
      <c r="F14" s="144"/>
      <c r="G14" s="238"/>
      <c r="H14" s="238"/>
      <c r="I14" s="238"/>
      <c r="J14" s="238"/>
      <c r="K14" s="238"/>
      <c r="L14" s="238"/>
      <c r="M14" s="238"/>
      <c r="N14" s="238"/>
      <c r="O14" s="238"/>
      <c r="P14" s="238"/>
      <c r="Q14" s="238"/>
      <c r="R14" s="238"/>
      <c r="S14" s="238"/>
      <c r="T14" s="238"/>
      <c r="U14" s="238"/>
      <c r="V14" s="238"/>
      <c r="W14" s="238"/>
      <c r="X14" s="238"/>
      <c r="Y14" s="238"/>
      <c r="Z14" s="238"/>
      <c r="AA14" s="238"/>
      <c r="AB14" s="238"/>
      <c r="AC14" s="238"/>
      <c r="AD14" s="238"/>
      <c r="AE14" s="239"/>
    </row>
    <row r="15" spans="2:31" ht="20" customHeight="1">
      <c r="B15" s="142"/>
      <c r="C15" s="143"/>
      <c r="D15" s="143"/>
      <c r="E15" s="143"/>
      <c r="F15" s="144"/>
      <c r="G15" s="238"/>
      <c r="H15" s="238"/>
      <c r="I15" s="238"/>
      <c r="J15" s="238"/>
      <c r="K15" s="238"/>
      <c r="L15" s="238"/>
      <c r="M15" s="238"/>
      <c r="N15" s="238"/>
      <c r="O15" s="238"/>
      <c r="P15" s="238"/>
      <c r="Q15" s="238"/>
      <c r="R15" s="238"/>
      <c r="S15" s="238"/>
      <c r="T15" s="238"/>
      <c r="U15" s="238"/>
      <c r="V15" s="238"/>
      <c r="W15" s="238"/>
      <c r="X15" s="238"/>
      <c r="Y15" s="238"/>
      <c r="Z15" s="238"/>
      <c r="AA15" s="238"/>
      <c r="AB15" s="238"/>
      <c r="AC15" s="238"/>
      <c r="AD15" s="238"/>
      <c r="AE15" s="239"/>
    </row>
    <row r="16" spans="2:31" ht="20" customHeight="1">
      <c r="B16" s="142"/>
      <c r="C16" s="143"/>
      <c r="D16" s="143"/>
      <c r="E16" s="143"/>
      <c r="F16" s="144"/>
      <c r="G16" s="238"/>
      <c r="H16" s="238"/>
      <c r="I16" s="238"/>
      <c r="J16" s="238"/>
      <c r="K16" s="238"/>
      <c r="L16" s="238"/>
      <c r="M16" s="238"/>
      <c r="N16" s="238"/>
      <c r="O16" s="238"/>
      <c r="P16" s="238"/>
      <c r="Q16" s="238"/>
      <c r="R16" s="238"/>
      <c r="S16" s="238"/>
      <c r="T16" s="238"/>
      <c r="U16" s="238"/>
      <c r="V16" s="238"/>
      <c r="W16" s="238"/>
      <c r="X16" s="238"/>
      <c r="Y16" s="238"/>
      <c r="Z16" s="238"/>
      <c r="AA16" s="238"/>
      <c r="AB16" s="238"/>
      <c r="AC16" s="238"/>
      <c r="AD16" s="238"/>
      <c r="AE16" s="239"/>
    </row>
    <row r="17" spans="2:31" ht="20" customHeight="1">
      <c r="B17" s="142"/>
      <c r="C17" s="143"/>
      <c r="D17" s="143"/>
      <c r="E17" s="143"/>
      <c r="F17" s="144"/>
      <c r="G17" s="238"/>
      <c r="H17" s="238"/>
      <c r="I17" s="238"/>
      <c r="J17" s="238"/>
      <c r="K17" s="238"/>
      <c r="L17" s="238"/>
      <c r="M17" s="238"/>
      <c r="N17" s="238"/>
      <c r="O17" s="238"/>
      <c r="P17" s="238"/>
      <c r="Q17" s="238"/>
      <c r="R17" s="238"/>
      <c r="S17" s="238"/>
      <c r="T17" s="238"/>
      <c r="U17" s="238"/>
      <c r="V17" s="238"/>
      <c r="W17" s="238"/>
      <c r="X17" s="238"/>
      <c r="Y17" s="238"/>
      <c r="Z17" s="238"/>
      <c r="AA17" s="238"/>
      <c r="AB17" s="238"/>
      <c r="AC17" s="238"/>
      <c r="AD17" s="238"/>
      <c r="AE17" s="239"/>
    </row>
    <row r="18" spans="2:31" ht="20" customHeight="1">
      <c r="B18" s="142"/>
      <c r="C18" s="143"/>
      <c r="D18" s="143"/>
      <c r="E18" s="143"/>
      <c r="F18" s="144"/>
      <c r="G18" s="168" t="s">
        <v>49</v>
      </c>
      <c r="H18" s="168"/>
      <c r="I18" s="168"/>
      <c r="J18" s="168"/>
      <c r="K18" s="168"/>
      <c r="L18" s="168"/>
      <c r="M18" s="168"/>
      <c r="N18" s="168"/>
      <c r="O18" s="168"/>
      <c r="P18" s="168"/>
      <c r="Q18" s="168"/>
      <c r="R18" s="168"/>
      <c r="S18" s="168" t="s">
        <v>50</v>
      </c>
      <c r="T18" s="168"/>
      <c r="U18" s="168"/>
      <c r="V18" s="168"/>
      <c r="W18" s="168"/>
      <c r="X18" s="168"/>
      <c r="Y18" s="168"/>
      <c r="Z18" s="168"/>
      <c r="AA18" s="168"/>
      <c r="AB18" s="168"/>
      <c r="AC18" s="168"/>
      <c r="AD18" s="168"/>
      <c r="AE18" s="240"/>
    </row>
    <row r="19" spans="2:31" ht="20" customHeight="1">
      <c r="B19" s="142"/>
      <c r="C19" s="143"/>
      <c r="D19" s="143"/>
      <c r="E19" s="143"/>
      <c r="F19" s="144"/>
      <c r="G19" s="198" t="s">
        <v>68</v>
      </c>
      <c r="H19" s="198"/>
      <c r="I19" s="198"/>
      <c r="J19" s="198"/>
      <c r="K19" s="198"/>
      <c r="L19" s="199">
        <f>プロジェクト管理表!T24</f>
        <v>180000</v>
      </c>
      <c r="M19" s="199"/>
      <c r="N19" s="199"/>
      <c r="O19" s="199"/>
      <c r="P19" s="199"/>
      <c r="Q19" s="199"/>
      <c r="R19" s="199"/>
      <c r="S19" s="201" t="s">
        <v>45</v>
      </c>
      <c r="T19" s="201"/>
      <c r="U19" s="201"/>
      <c r="V19" s="201"/>
      <c r="W19" s="201"/>
      <c r="X19" s="256">
        <v>44287</v>
      </c>
      <c r="Y19" s="256"/>
      <c r="Z19" s="256"/>
      <c r="AA19" s="256"/>
      <c r="AB19" s="256"/>
      <c r="AC19" s="256"/>
      <c r="AD19" s="256"/>
      <c r="AE19" s="257"/>
    </row>
    <row r="20" spans="2:31" ht="20" customHeight="1">
      <c r="B20" s="142"/>
      <c r="C20" s="143"/>
      <c r="D20" s="143"/>
      <c r="E20" s="143"/>
      <c r="F20" s="144"/>
      <c r="G20" s="198" t="s">
        <v>69</v>
      </c>
      <c r="H20" s="198"/>
      <c r="I20" s="198"/>
      <c r="J20" s="198"/>
      <c r="K20" s="198"/>
      <c r="L20" s="199">
        <f>プロジェクト管理表!T26</f>
        <v>0</v>
      </c>
      <c r="M20" s="199"/>
      <c r="N20" s="199"/>
      <c r="O20" s="199"/>
      <c r="P20" s="199"/>
      <c r="Q20" s="199"/>
      <c r="R20" s="199"/>
      <c r="S20" s="201" t="s">
        <v>46</v>
      </c>
      <c r="T20" s="201"/>
      <c r="U20" s="201"/>
      <c r="V20" s="201"/>
      <c r="W20" s="201"/>
      <c r="X20" s="256">
        <v>44530</v>
      </c>
      <c r="Y20" s="256"/>
      <c r="Z20" s="256"/>
      <c r="AA20" s="256"/>
      <c r="AB20" s="256"/>
      <c r="AC20" s="256"/>
      <c r="AD20" s="256"/>
      <c r="AE20" s="257"/>
    </row>
    <row r="21" spans="2:31" ht="20" customHeight="1">
      <c r="B21" s="142"/>
      <c r="C21" s="143"/>
      <c r="D21" s="143"/>
      <c r="E21" s="143"/>
      <c r="F21" s="144"/>
      <c r="G21" s="198" t="s">
        <v>70</v>
      </c>
      <c r="H21" s="198"/>
      <c r="I21" s="198"/>
      <c r="J21" s="198"/>
      <c r="K21" s="198"/>
      <c r="L21" s="199">
        <f>プロジェクト管理表!T28</f>
        <v>180000</v>
      </c>
      <c r="M21" s="199"/>
      <c r="N21" s="199"/>
      <c r="O21" s="199"/>
      <c r="P21" s="199"/>
      <c r="Q21" s="199"/>
      <c r="R21" s="199"/>
      <c r="S21" s="201" t="s">
        <v>47</v>
      </c>
      <c r="T21" s="201"/>
      <c r="U21" s="201"/>
      <c r="V21" s="201"/>
      <c r="W21" s="201"/>
      <c r="X21" s="258">
        <v>8</v>
      </c>
      <c r="Y21" s="258"/>
      <c r="Z21" s="258"/>
      <c r="AA21" s="258"/>
      <c r="AB21" s="258"/>
      <c r="AC21" s="258"/>
      <c r="AD21" s="258"/>
      <c r="AE21" s="259"/>
    </row>
    <row r="22" spans="2:31" ht="20" customHeight="1">
      <c r="B22" s="145"/>
      <c r="C22" s="146"/>
      <c r="D22" s="146"/>
      <c r="E22" s="146"/>
      <c r="F22" s="147"/>
      <c r="G22" s="198" t="s">
        <v>71</v>
      </c>
      <c r="H22" s="198"/>
      <c r="I22" s="198"/>
      <c r="J22" s="198"/>
      <c r="K22" s="198"/>
      <c r="L22" s="200">
        <f>プロジェクト管理表!T30</f>
        <v>1</v>
      </c>
      <c r="M22" s="200"/>
      <c r="N22" s="200"/>
      <c r="O22" s="200"/>
      <c r="P22" s="200"/>
      <c r="Q22" s="200"/>
      <c r="R22" s="200"/>
      <c r="S22" s="201"/>
      <c r="T22" s="201"/>
      <c r="U22" s="201"/>
      <c r="V22" s="201"/>
      <c r="W22" s="201"/>
      <c r="X22" s="258"/>
      <c r="Y22" s="258"/>
      <c r="Z22" s="258"/>
      <c r="AA22" s="258"/>
      <c r="AB22" s="258"/>
      <c r="AC22" s="258"/>
      <c r="AD22" s="258"/>
      <c r="AE22" s="259"/>
    </row>
    <row r="23" spans="2:31" ht="20" customHeight="1">
      <c r="B23" s="139"/>
      <c r="C23" s="140"/>
      <c r="D23" s="140"/>
      <c r="E23" s="140"/>
      <c r="F23" s="141"/>
      <c r="G23" s="241" t="s">
        <v>48</v>
      </c>
      <c r="H23" s="242"/>
      <c r="I23" s="242"/>
      <c r="J23" s="242"/>
      <c r="K23" s="242"/>
      <c r="L23" s="242"/>
      <c r="M23" s="242"/>
      <c r="N23" s="242"/>
      <c r="O23" s="242"/>
      <c r="P23" s="242"/>
      <c r="Q23" s="242"/>
      <c r="R23" s="242"/>
      <c r="S23" s="242"/>
      <c r="T23" s="242"/>
      <c r="U23" s="242"/>
      <c r="V23" s="242"/>
      <c r="W23" s="242"/>
      <c r="X23" s="242"/>
      <c r="Y23" s="242"/>
      <c r="Z23" s="242"/>
      <c r="AA23" s="242"/>
      <c r="AB23" s="242"/>
      <c r="AC23" s="242"/>
      <c r="AD23" s="242"/>
      <c r="AE23" s="243"/>
    </row>
    <row r="24" spans="2:31" ht="20" customHeight="1">
      <c r="B24" s="142"/>
      <c r="C24" s="143"/>
      <c r="D24" s="143"/>
      <c r="E24" s="143"/>
      <c r="F24" s="144"/>
      <c r="G24" s="154" t="s">
        <v>110</v>
      </c>
      <c r="H24" s="244"/>
      <c r="I24" s="244"/>
      <c r="J24" s="244"/>
      <c r="K24" s="244"/>
      <c r="L24" s="244"/>
      <c r="M24" s="244"/>
      <c r="N24" s="244"/>
      <c r="O24" s="244"/>
      <c r="P24" s="244"/>
      <c r="Q24" s="244"/>
      <c r="R24" s="244"/>
      <c r="S24" s="244"/>
      <c r="T24" s="244"/>
      <c r="U24" s="244"/>
      <c r="V24" s="244"/>
      <c r="W24" s="244"/>
      <c r="X24" s="244"/>
      <c r="Y24" s="244"/>
      <c r="Z24" s="244"/>
      <c r="AA24" s="244"/>
      <c r="AB24" s="244"/>
      <c r="AC24" s="244"/>
      <c r="AD24" s="244"/>
      <c r="AE24" s="245"/>
    </row>
    <row r="25" spans="2:31" ht="20" customHeight="1">
      <c r="B25" s="142"/>
      <c r="C25" s="143"/>
      <c r="D25" s="143"/>
      <c r="E25" s="143"/>
      <c r="F25" s="144"/>
      <c r="G25" s="246"/>
      <c r="H25" s="247"/>
      <c r="I25" s="247"/>
      <c r="J25" s="247"/>
      <c r="K25" s="247"/>
      <c r="L25" s="247"/>
      <c r="M25" s="247"/>
      <c r="N25" s="247"/>
      <c r="O25" s="247"/>
      <c r="P25" s="247"/>
      <c r="Q25" s="247"/>
      <c r="R25" s="247"/>
      <c r="S25" s="247"/>
      <c r="T25" s="247"/>
      <c r="U25" s="247"/>
      <c r="V25" s="247"/>
      <c r="W25" s="247"/>
      <c r="X25" s="247"/>
      <c r="Y25" s="247"/>
      <c r="Z25" s="247"/>
      <c r="AA25" s="247"/>
      <c r="AB25" s="247"/>
      <c r="AC25" s="247"/>
      <c r="AD25" s="247"/>
      <c r="AE25" s="248"/>
    </row>
    <row r="26" spans="2:31" ht="20" customHeight="1">
      <c r="B26" s="142"/>
      <c r="C26" s="143"/>
      <c r="D26" s="143"/>
      <c r="E26" s="143"/>
      <c r="F26" s="144"/>
      <c r="G26" s="249"/>
      <c r="H26" s="250"/>
      <c r="I26" s="250"/>
      <c r="J26" s="250"/>
      <c r="K26" s="250"/>
      <c r="L26" s="250"/>
      <c r="M26" s="250"/>
      <c r="N26" s="250"/>
      <c r="O26" s="250"/>
      <c r="P26" s="250"/>
      <c r="Q26" s="250"/>
      <c r="R26" s="250"/>
      <c r="S26" s="250"/>
      <c r="T26" s="250"/>
      <c r="U26" s="250"/>
      <c r="V26" s="250"/>
      <c r="W26" s="250"/>
      <c r="X26" s="250"/>
      <c r="Y26" s="250"/>
      <c r="Z26" s="250"/>
      <c r="AA26" s="250"/>
      <c r="AB26" s="250"/>
      <c r="AC26" s="250"/>
      <c r="AD26" s="250"/>
      <c r="AE26" s="251"/>
    </row>
    <row r="27" spans="2:31" ht="20" customHeight="1">
      <c r="B27" s="142"/>
      <c r="C27" s="143"/>
      <c r="D27" s="143"/>
      <c r="E27" s="143"/>
      <c r="F27" s="144"/>
      <c r="G27" s="241" t="s">
        <v>51</v>
      </c>
      <c r="H27" s="242"/>
      <c r="I27" s="242"/>
      <c r="J27" s="242"/>
      <c r="K27" s="242"/>
      <c r="L27" s="242"/>
      <c r="M27" s="242"/>
      <c r="N27" s="242"/>
      <c r="O27" s="242"/>
      <c r="P27" s="242"/>
      <c r="Q27" s="242"/>
      <c r="R27" s="242"/>
      <c r="S27" s="242"/>
      <c r="T27" s="242"/>
      <c r="U27" s="242"/>
      <c r="V27" s="242"/>
      <c r="W27" s="242"/>
      <c r="X27" s="242"/>
      <c r="Y27" s="242"/>
      <c r="Z27" s="242"/>
      <c r="AA27" s="242"/>
      <c r="AB27" s="242"/>
      <c r="AC27" s="242"/>
      <c r="AD27" s="242"/>
      <c r="AE27" s="243"/>
    </row>
    <row r="28" spans="2:31" ht="20" customHeight="1">
      <c r="B28" s="142"/>
      <c r="C28" s="143"/>
      <c r="D28" s="143"/>
      <c r="E28" s="143"/>
      <c r="F28" s="144"/>
      <c r="G28" s="154" t="s">
        <v>111</v>
      </c>
      <c r="H28" s="244"/>
      <c r="I28" s="244"/>
      <c r="J28" s="244"/>
      <c r="K28" s="244"/>
      <c r="L28" s="244"/>
      <c r="M28" s="244"/>
      <c r="N28" s="244"/>
      <c r="O28" s="244"/>
      <c r="P28" s="244"/>
      <c r="Q28" s="244"/>
      <c r="R28" s="244"/>
      <c r="S28" s="244"/>
      <c r="T28" s="244"/>
      <c r="U28" s="244"/>
      <c r="V28" s="244"/>
      <c r="W28" s="244"/>
      <c r="X28" s="244"/>
      <c r="Y28" s="244"/>
      <c r="Z28" s="244"/>
      <c r="AA28" s="244"/>
      <c r="AB28" s="244"/>
      <c r="AC28" s="244"/>
      <c r="AD28" s="244"/>
      <c r="AE28" s="245"/>
    </row>
    <row r="29" spans="2:31" ht="20" customHeight="1">
      <c r="B29" s="142"/>
      <c r="C29" s="143"/>
      <c r="D29" s="143"/>
      <c r="E29" s="143"/>
      <c r="F29" s="144"/>
      <c r="G29" s="246"/>
      <c r="H29" s="247"/>
      <c r="I29" s="247"/>
      <c r="J29" s="247"/>
      <c r="K29" s="247"/>
      <c r="L29" s="247"/>
      <c r="M29" s="247"/>
      <c r="N29" s="247"/>
      <c r="O29" s="247"/>
      <c r="P29" s="247"/>
      <c r="Q29" s="247"/>
      <c r="R29" s="247"/>
      <c r="S29" s="247"/>
      <c r="T29" s="247"/>
      <c r="U29" s="247"/>
      <c r="V29" s="247"/>
      <c r="W29" s="247"/>
      <c r="X29" s="247"/>
      <c r="Y29" s="247"/>
      <c r="Z29" s="247"/>
      <c r="AA29" s="247"/>
      <c r="AB29" s="247"/>
      <c r="AC29" s="247"/>
      <c r="AD29" s="247"/>
      <c r="AE29" s="248"/>
    </row>
    <row r="30" spans="2:31" ht="20" customHeight="1">
      <c r="B30" s="145"/>
      <c r="C30" s="146"/>
      <c r="D30" s="146"/>
      <c r="E30" s="146"/>
      <c r="F30" s="147"/>
      <c r="G30" s="249"/>
      <c r="H30" s="250"/>
      <c r="I30" s="250"/>
      <c r="J30" s="250"/>
      <c r="K30" s="250"/>
      <c r="L30" s="250"/>
      <c r="M30" s="250"/>
      <c r="N30" s="250"/>
      <c r="O30" s="250"/>
      <c r="P30" s="250"/>
      <c r="Q30" s="250"/>
      <c r="R30" s="250"/>
      <c r="S30" s="250"/>
      <c r="T30" s="250"/>
      <c r="U30" s="250"/>
      <c r="V30" s="250"/>
      <c r="W30" s="250"/>
      <c r="X30" s="250"/>
      <c r="Y30" s="250"/>
      <c r="Z30" s="250"/>
      <c r="AA30" s="250"/>
      <c r="AB30" s="250"/>
      <c r="AC30" s="250"/>
      <c r="AD30" s="250"/>
      <c r="AE30" s="251"/>
    </row>
    <row r="31" spans="2:31" ht="20" customHeight="1">
      <c r="B31" s="139"/>
      <c r="C31" s="140"/>
      <c r="D31" s="140"/>
      <c r="E31" s="140"/>
      <c r="F31" s="141"/>
      <c r="G31" s="168" t="s">
        <v>52</v>
      </c>
      <c r="H31" s="168"/>
      <c r="I31" s="168"/>
      <c r="J31" s="168"/>
      <c r="K31" s="168"/>
      <c r="L31" s="168"/>
      <c r="M31" s="168"/>
      <c r="N31" s="168"/>
      <c r="O31" s="168"/>
      <c r="P31" s="168"/>
      <c r="Q31" s="168"/>
      <c r="R31" s="168"/>
      <c r="S31" s="241" t="s">
        <v>54</v>
      </c>
      <c r="T31" s="242"/>
      <c r="U31" s="242"/>
      <c r="V31" s="242"/>
      <c r="W31" s="242"/>
      <c r="X31" s="242"/>
      <c r="Y31" s="242"/>
      <c r="Z31" s="242"/>
      <c r="AA31" s="242"/>
      <c r="AB31" s="242"/>
      <c r="AC31" s="242"/>
      <c r="AD31" s="242"/>
      <c r="AE31" s="243"/>
    </row>
    <row r="32" spans="2:31" ht="20" customHeight="1">
      <c r="B32" s="142"/>
      <c r="C32" s="143"/>
      <c r="D32" s="143"/>
      <c r="E32" s="143"/>
      <c r="F32" s="144"/>
      <c r="G32" s="174" t="s">
        <v>53</v>
      </c>
      <c r="H32" s="174"/>
      <c r="I32" s="174"/>
      <c r="J32" s="174" t="s">
        <v>25</v>
      </c>
      <c r="K32" s="174"/>
      <c r="L32" s="174"/>
      <c r="M32" s="175" t="s">
        <v>26</v>
      </c>
      <c r="N32" s="176"/>
      <c r="O32" s="175" t="s">
        <v>12</v>
      </c>
      <c r="P32" s="278"/>
      <c r="Q32" s="278"/>
      <c r="R32" s="176"/>
      <c r="S32" s="154" t="s">
        <v>122</v>
      </c>
      <c r="T32" s="155"/>
      <c r="U32" s="155"/>
      <c r="V32" s="155"/>
      <c r="W32" s="155"/>
      <c r="X32" s="155"/>
      <c r="Y32" s="155"/>
      <c r="Z32" s="155"/>
      <c r="AA32" s="155"/>
      <c r="AB32" s="155"/>
      <c r="AC32" s="155"/>
      <c r="AD32" s="155"/>
      <c r="AE32" s="156"/>
    </row>
    <row r="33" spans="2:31" ht="20" customHeight="1">
      <c r="B33" s="142"/>
      <c r="C33" s="143"/>
      <c r="D33" s="143"/>
      <c r="E33" s="143"/>
      <c r="F33" s="144"/>
      <c r="G33" s="174" t="str">
        <f>プロジェクト管理表!C32</f>
        <v>PPM</v>
      </c>
      <c r="H33" s="174"/>
      <c r="I33" s="174"/>
      <c r="J33" s="255" t="str">
        <f>プロジェクト管理表!E32</f>
        <v>周娴</v>
      </c>
      <c r="K33" s="255"/>
      <c r="L33" s="255"/>
      <c r="M33" s="169" t="str">
        <f>プロジェクト管理表!E33</f>
        <v>-</v>
      </c>
      <c r="N33" s="170"/>
      <c r="O33" s="171">
        <f>プロジェクト管理表!T32</f>
        <v>26</v>
      </c>
      <c r="P33" s="172"/>
      <c r="Q33" s="172"/>
      <c r="R33" s="173"/>
      <c r="S33" s="148"/>
      <c r="T33" s="149"/>
      <c r="U33" s="149"/>
      <c r="V33" s="149"/>
      <c r="W33" s="149"/>
      <c r="X33" s="149"/>
      <c r="Y33" s="149"/>
      <c r="Z33" s="149"/>
      <c r="AA33" s="149"/>
      <c r="AB33" s="149"/>
      <c r="AC33" s="149"/>
      <c r="AD33" s="149"/>
      <c r="AE33" s="150"/>
    </row>
    <row r="34" spans="2:31" ht="20" customHeight="1">
      <c r="B34" s="142"/>
      <c r="C34" s="143"/>
      <c r="D34" s="143"/>
      <c r="E34" s="143"/>
      <c r="F34" s="144"/>
      <c r="G34" s="174" t="str">
        <f>プロジェクト管理表!C34</f>
        <v>PMO</v>
      </c>
      <c r="H34" s="174"/>
      <c r="I34" s="174"/>
      <c r="J34" s="255">
        <f>プロジェクト管理表!E34</f>
        <v>0</v>
      </c>
      <c r="K34" s="255"/>
      <c r="L34" s="255"/>
      <c r="M34" s="169" t="str">
        <f>プロジェクト管理表!E35</f>
        <v>-</v>
      </c>
      <c r="N34" s="170"/>
      <c r="O34" s="171">
        <f>プロジェクト管理表!T34</f>
        <v>0</v>
      </c>
      <c r="P34" s="172"/>
      <c r="Q34" s="172"/>
      <c r="R34" s="173"/>
      <c r="S34" s="148"/>
      <c r="T34" s="149"/>
      <c r="U34" s="149"/>
      <c r="V34" s="149"/>
      <c r="W34" s="149"/>
      <c r="X34" s="149"/>
      <c r="Y34" s="149"/>
      <c r="Z34" s="149"/>
      <c r="AA34" s="149"/>
      <c r="AB34" s="149"/>
      <c r="AC34" s="149"/>
      <c r="AD34" s="149"/>
      <c r="AE34" s="150"/>
    </row>
    <row r="35" spans="2:31" ht="20" customHeight="1">
      <c r="B35" s="142"/>
      <c r="C35" s="143"/>
      <c r="D35" s="143"/>
      <c r="E35" s="143"/>
      <c r="F35" s="144"/>
      <c r="G35" s="174" t="str">
        <f>プロジェクト管理表!C36</f>
        <v>PD</v>
      </c>
      <c r="H35" s="174"/>
      <c r="I35" s="174"/>
      <c r="J35" s="255" t="str">
        <f>プロジェクト管理表!E36</f>
        <v>山崎</v>
      </c>
      <c r="K35" s="255"/>
      <c r="L35" s="255"/>
      <c r="M35" s="169" t="str">
        <f>プロジェクト管理表!E37</f>
        <v>-</v>
      </c>
      <c r="N35" s="170"/>
      <c r="O35" s="171">
        <f>プロジェクト管理表!T36</f>
        <v>0</v>
      </c>
      <c r="P35" s="172"/>
      <c r="Q35" s="172"/>
      <c r="R35" s="173"/>
      <c r="S35" s="148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149"/>
      <c r="AE35" s="150"/>
    </row>
    <row r="36" spans="2:31" ht="20" customHeight="1">
      <c r="B36" s="142"/>
      <c r="C36" s="143"/>
      <c r="D36" s="143"/>
      <c r="E36" s="143"/>
      <c r="F36" s="144"/>
      <c r="G36" s="174" t="str">
        <f>プロジェクト管理表!C38</f>
        <v>PM</v>
      </c>
      <c r="H36" s="174"/>
      <c r="I36" s="174"/>
      <c r="J36" s="255" t="str">
        <f>プロジェクト管理表!E38</f>
        <v>沈庆元</v>
      </c>
      <c r="K36" s="255"/>
      <c r="L36" s="255"/>
      <c r="M36" s="169" t="str">
        <f>プロジェクト管理表!E39</f>
        <v>-</v>
      </c>
      <c r="N36" s="170"/>
      <c r="O36" s="171">
        <f>プロジェクト管理表!T38</f>
        <v>96</v>
      </c>
      <c r="P36" s="172"/>
      <c r="Q36" s="172"/>
      <c r="R36" s="173"/>
      <c r="S36" s="148"/>
      <c r="T36" s="149"/>
      <c r="U36" s="149"/>
      <c r="V36" s="149"/>
      <c r="W36" s="149"/>
      <c r="X36" s="149"/>
      <c r="Y36" s="149"/>
      <c r="Z36" s="149"/>
      <c r="AA36" s="149"/>
      <c r="AB36" s="149"/>
      <c r="AC36" s="149"/>
      <c r="AD36" s="149"/>
      <c r="AE36" s="150"/>
    </row>
    <row r="37" spans="2:31" ht="20" customHeight="1">
      <c r="B37" s="142"/>
      <c r="C37" s="143"/>
      <c r="D37" s="143"/>
      <c r="E37" s="143"/>
      <c r="F37" s="144"/>
      <c r="G37" s="174" t="str">
        <f>プロジェクト管理表!C40</f>
        <v>CREW①</v>
      </c>
      <c r="H37" s="174"/>
      <c r="I37" s="174"/>
      <c r="J37" s="255" t="str">
        <f>プロジェクト管理表!E40</f>
        <v>王旭</v>
      </c>
      <c r="K37" s="255"/>
      <c r="L37" s="255"/>
      <c r="M37" s="169" t="str">
        <f>プロジェクト管理表!E41</f>
        <v>-</v>
      </c>
      <c r="N37" s="170"/>
      <c r="O37" s="171">
        <f>プロジェクト管理表!T40</f>
        <v>96</v>
      </c>
      <c r="P37" s="172"/>
      <c r="Q37" s="172"/>
      <c r="R37" s="173"/>
      <c r="S37" s="148"/>
      <c r="T37" s="149"/>
      <c r="U37" s="149"/>
      <c r="V37" s="149"/>
      <c r="W37" s="149"/>
      <c r="X37" s="149"/>
      <c r="Y37" s="149"/>
      <c r="Z37" s="149"/>
      <c r="AA37" s="149"/>
      <c r="AB37" s="149"/>
      <c r="AC37" s="149"/>
      <c r="AD37" s="149"/>
      <c r="AE37" s="150"/>
    </row>
    <row r="38" spans="2:31" ht="20" customHeight="1">
      <c r="B38" s="142"/>
      <c r="C38" s="143"/>
      <c r="D38" s="143"/>
      <c r="E38" s="143"/>
      <c r="F38" s="144"/>
      <c r="G38" s="174" t="str">
        <f>プロジェクト管理表!C42</f>
        <v>CREW②</v>
      </c>
      <c r="H38" s="174"/>
      <c r="I38" s="174"/>
      <c r="J38" s="255" t="str">
        <f>プロジェクト管理表!E42</f>
        <v>-</v>
      </c>
      <c r="K38" s="255"/>
      <c r="L38" s="255"/>
      <c r="M38" s="169" t="str">
        <f>プロジェクト管理表!E43</f>
        <v>-</v>
      </c>
      <c r="N38" s="170"/>
      <c r="O38" s="171">
        <f>プロジェクト管理表!T42</f>
        <v>0</v>
      </c>
      <c r="P38" s="172"/>
      <c r="Q38" s="172"/>
      <c r="R38" s="173"/>
      <c r="S38" s="157"/>
      <c r="T38" s="158"/>
      <c r="U38" s="158"/>
      <c r="V38" s="158"/>
      <c r="W38" s="158"/>
      <c r="X38" s="158"/>
      <c r="Y38" s="158"/>
      <c r="Z38" s="158"/>
      <c r="AA38" s="158"/>
      <c r="AB38" s="158"/>
      <c r="AC38" s="158"/>
      <c r="AD38" s="158"/>
      <c r="AE38" s="159"/>
    </row>
    <row r="39" spans="2:31" ht="20" customHeight="1">
      <c r="B39" s="142"/>
      <c r="C39" s="143"/>
      <c r="D39" s="143"/>
      <c r="E39" s="143"/>
      <c r="F39" s="144"/>
      <c r="G39" s="174" t="str">
        <f>プロジェクト管理表!C44</f>
        <v>CREW③</v>
      </c>
      <c r="H39" s="174"/>
      <c r="I39" s="174"/>
      <c r="J39" s="255" t="str">
        <f>プロジェクト管理表!E44</f>
        <v>-</v>
      </c>
      <c r="K39" s="255"/>
      <c r="L39" s="255"/>
      <c r="M39" s="169" t="str">
        <f>プロジェクト管理表!E45</f>
        <v>-</v>
      </c>
      <c r="N39" s="170"/>
      <c r="O39" s="171">
        <f>プロジェクト管理表!T44</f>
        <v>0</v>
      </c>
      <c r="P39" s="172"/>
      <c r="Q39" s="172"/>
      <c r="R39" s="173"/>
      <c r="S39" s="241" t="s">
        <v>87</v>
      </c>
      <c r="T39" s="242"/>
      <c r="U39" s="242"/>
      <c r="V39" s="242"/>
      <c r="W39" s="242"/>
      <c r="X39" s="242"/>
      <c r="Y39" s="242"/>
      <c r="Z39" s="242"/>
      <c r="AA39" s="242"/>
      <c r="AB39" s="242"/>
      <c r="AC39" s="242"/>
      <c r="AD39" s="242"/>
      <c r="AE39" s="243"/>
    </row>
    <row r="40" spans="2:31" ht="20" customHeight="1">
      <c r="B40" s="142"/>
      <c r="C40" s="143"/>
      <c r="D40" s="143"/>
      <c r="E40" s="143"/>
      <c r="F40" s="144"/>
      <c r="G40" s="174" t="str">
        <f>プロジェクト管理表!C46</f>
        <v>CREW④</v>
      </c>
      <c r="H40" s="174"/>
      <c r="I40" s="174"/>
      <c r="J40" s="255" t="str">
        <f>プロジェクト管理表!E46</f>
        <v>-</v>
      </c>
      <c r="K40" s="255"/>
      <c r="L40" s="255"/>
      <c r="M40" s="169" t="str">
        <f>プロジェクト管理表!E47</f>
        <v>-</v>
      </c>
      <c r="N40" s="170"/>
      <c r="O40" s="171">
        <f>プロジェクト管理表!T46</f>
        <v>0</v>
      </c>
      <c r="P40" s="172"/>
      <c r="Q40" s="172"/>
      <c r="R40" s="173"/>
      <c r="S40" s="148" t="s">
        <v>112</v>
      </c>
      <c r="T40" s="149"/>
      <c r="U40" s="149"/>
      <c r="V40" s="149"/>
      <c r="W40" s="149"/>
      <c r="X40" s="149"/>
      <c r="Y40" s="149"/>
      <c r="Z40" s="149"/>
      <c r="AA40" s="149"/>
      <c r="AB40" s="149"/>
      <c r="AC40" s="149"/>
      <c r="AD40" s="149"/>
      <c r="AE40" s="150"/>
    </row>
    <row r="41" spans="2:31" ht="20" customHeight="1">
      <c r="B41" s="142"/>
      <c r="C41" s="143"/>
      <c r="D41" s="143"/>
      <c r="E41" s="143"/>
      <c r="F41" s="144"/>
      <c r="G41" s="174" t="str">
        <f>プロジェクト管理表!C48</f>
        <v>CREW⑤</v>
      </c>
      <c r="H41" s="174"/>
      <c r="I41" s="174"/>
      <c r="J41" s="255" t="str">
        <f>プロジェクト管理表!E48</f>
        <v>-</v>
      </c>
      <c r="K41" s="255"/>
      <c r="L41" s="255"/>
      <c r="M41" s="169" t="str">
        <f>プロジェクト管理表!E49</f>
        <v>-</v>
      </c>
      <c r="N41" s="170"/>
      <c r="O41" s="171">
        <f>プロジェクト管理表!T48</f>
        <v>0</v>
      </c>
      <c r="P41" s="172"/>
      <c r="Q41" s="172"/>
      <c r="R41" s="173"/>
      <c r="S41" s="148"/>
      <c r="T41" s="149"/>
      <c r="U41" s="149"/>
      <c r="V41" s="149"/>
      <c r="W41" s="149"/>
      <c r="X41" s="149"/>
      <c r="Y41" s="149"/>
      <c r="Z41" s="149"/>
      <c r="AA41" s="149"/>
      <c r="AB41" s="149"/>
      <c r="AC41" s="149"/>
      <c r="AD41" s="149"/>
      <c r="AE41" s="150"/>
    </row>
    <row r="42" spans="2:31" ht="20" customHeight="1">
      <c r="B42" s="142"/>
      <c r="C42" s="143"/>
      <c r="D42" s="143"/>
      <c r="E42" s="143"/>
      <c r="F42" s="144"/>
      <c r="G42" s="174" t="str">
        <f>プロジェクト管理表!C50</f>
        <v>CREW⑥</v>
      </c>
      <c r="H42" s="174"/>
      <c r="I42" s="174"/>
      <c r="J42" s="255" t="str">
        <f>プロジェクト管理表!E50</f>
        <v>-</v>
      </c>
      <c r="K42" s="255"/>
      <c r="L42" s="255"/>
      <c r="M42" s="169" t="str">
        <f>プロジェクト管理表!E51</f>
        <v>-</v>
      </c>
      <c r="N42" s="170"/>
      <c r="O42" s="171">
        <f>プロジェクト管理表!T50</f>
        <v>0</v>
      </c>
      <c r="P42" s="172"/>
      <c r="Q42" s="172"/>
      <c r="R42" s="173"/>
      <c r="S42" s="148"/>
      <c r="T42" s="149"/>
      <c r="U42" s="149"/>
      <c r="V42" s="149"/>
      <c r="W42" s="149"/>
      <c r="X42" s="149"/>
      <c r="Y42" s="149"/>
      <c r="Z42" s="149"/>
      <c r="AA42" s="149"/>
      <c r="AB42" s="149"/>
      <c r="AC42" s="149"/>
      <c r="AD42" s="149"/>
      <c r="AE42" s="150"/>
    </row>
    <row r="43" spans="2:31" ht="20" customHeight="1">
      <c r="B43" s="142"/>
      <c r="C43" s="143"/>
      <c r="D43" s="143"/>
      <c r="E43" s="143"/>
      <c r="F43" s="144"/>
      <c r="G43" s="260" t="s">
        <v>84</v>
      </c>
      <c r="H43" s="261"/>
      <c r="I43" s="262"/>
      <c r="J43" s="169" t="s">
        <v>85</v>
      </c>
      <c r="K43" s="263"/>
      <c r="L43" s="263"/>
      <c r="M43" s="263"/>
      <c r="N43" s="263"/>
      <c r="O43" s="263"/>
      <c r="P43" s="263"/>
      <c r="Q43" s="263"/>
      <c r="R43" s="170"/>
      <c r="S43" s="148"/>
      <c r="T43" s="149"/>
      <c r="U43" s="149"/>
      <c r="V43" s="149"/>
      <c r="W43" s="149"/>
      <c r="X43" s="149"/>
      <c r="Y43" s="149"/>
      <c r="Z43" s="149"/>
      <c r="AA43" s="149"/>
      <c r="AB43" s="149"/>
      <c r="AC43" s="149"/>
      <c r="AD43" s="149"/>
      <c r="AE43" s="150"/>
    </row>
    <row r="44" spans="2:31" ht="20" customHeight="1">
      <c r="B44" s="142"/>
      <c r="C44" s="143"/>
      <c r="D44" s="143"/>
      <c r="E44" s="143"/>
      <c r="F44" s="144"/>
      <c r="G44" s="264" t="s">
        <v>86</v>
      </c>
      <c r="H44" s="265"/>
      <c r="I44" s="266"/>
      <c r="J44" s="270"/>
      <c r="K44" s="253"/>
      <c r="L44" s="253"/>
      <c r="M44" s="253"/>
      <c r="N44" s="253"/>
      <c r="O44" s="253"/>
      <c r="P44" s="253"/>
      <c r="Q44" s="253"/>
      <c r="R44" s="271"/>
      <c r="S44" s="148"/>
      <c r="T44" s="149"/>
      <c r="U44" s="149"/>
      <c r="V44" s="149"/>
      <c r="W44" s="149"/>
      <c r="X44" s="149"/>
      <c r="Y44" s="149"/>
      <c r="Z44" s="149"/>
      <c r="AA44" s="149"/>
      <c r="AB44" s="149"/>
      <c r="AC44" s="149"/>
      <c r="AD44" s="149"/>
      <c r="AE44" s="150"/>
    </row>
    <row r="45" spans="2:31" ht="20" customHeight="1" thickBot="1">
      <c r="B45" s="275"/>
      <c r="C45" s="276"/>
      <c r="D45" s="276"/>
      <c r="E45" s="276"/>
      <c r="F45" s="277"/>
      <c r="G45" s="267"/>
      <c r="H45" s="268"/>
      <c r="I45" s="269"/>
      <c r="J45" s="272"/>
      <c r="K45" s="273"/>
      <c r="L45" s="273"/>
      <c r="M45" s="273"/>
      <c r="N45" s="273"/>
      <c r="O45" s="273"/>
      <c r="P45" s="273"/>
      <c r="Q45" s="273"/>
      <c r="R45" s="274"/>
      <c r="S45" s="151"/>
      <c r="T45" s="152"/>
      <c r="U45" s="152"/>
      <c r="V45" s="152"/>
      <c r="W45" s="152"/>
      <c r="X45" s="152"/>
      <c r="Y45" s="152"/>
      <c r="Z45" s="152"/>
      <c r="AA45" s="152"/>
      <c r="AB45" s="152"/>
      <c r="AC45" s="152"/>
      <c r="AD45" s="152"/>
      <c r="AE45" s="153"/>
    </row>
    <row r="46" spans="2:31" ht="8" customHeight="1"/>
    <row r="47" spans="2:31" ht="8" customHeight="1"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</row>
    <row r="48" spans="2:31" ht="20.5" customHeight="1" thickBot="1">
      <c r="B48" s="1" t="s">
        <v>99</v>
      </c>
    </row>
    <row r="49" spans="2:31" ht="20" customHeight="1">
      <c r="B49" s="213" t="s">
        <v>29</v>
      </c>
      <c r="C49" s="208"/>
      <c r="D49" s="208"/>
      <c r="E49" s="208"/>
      <c r="F49" s="208"/>
      <c r="G49" s="163"/>
      <c r="H49" s="163"/>
      <c r="I49" s="163"/>
      <c r="J49" s="163"/>
      <c r="K49" s="163"/>
      <c r="L49" s="230" t="s">
        <v>86</v>
      </c>
      <c r="M49" s="230"/>
      <c r="N49" s="230"/>
      <c r="O49" s="231"/>
      <c r="P49" s="231"/>
      <c r="Q49" s="231"/>
      <c r="R49" s="231"/>
      <c r="S49" s="231"/>
      <c r="T49" s="231"/>
      <c r="U49" s="231"/>
      <c r="V49" s="231"/>
      <c r="W49" s="231"/>
      <c r="X49" s="231"/>
      <c r="Y49" s="231"/>
      <c r="Z49" s="231"/>
      <c r="AA49" s="231"/>
      <c r="AB49" s="231"/>
      <c r="AC49" s="231"/>
      <c r="AD49" s="231"/>
      <c r="AE49" s="232"/>
    </row>
    <row r="50" spans="2:31" ht="20" customHeight="1">
      <c r="B50" s="219" t="s">
        <v>30</v>
      </c>
      <c r="C50" s="220"/>
      <c r="D50" s="220"/>
      <c r="E50" s="220"/>
      <c r="F50" s="220"/>
      <c r="G50" s="164"/>
      <c r="H50" s="164"/>
      <c r="I50" s="164"/>
      <c r="J50" s="164"/>
      <c r="K50" s="164"/>
      <c r="L50" s="223"/>
      <c r="M50" s="223"/>
      <c r="N50" s="223"/>
      <c r="O50" s="233"/>
      <c r="P50" s="233"/>
      <c r="Q50" s="233"/>
      <c r="R50" s="233"/>
      <c r="S50" s="233"/>
      <c r="T50" s="233"/>
      <c r="U50" s="233"/>
      <c r="V50" s="233"/>
      <c r="W50" s="233"/>
      <c r="X50" s="233"/>
      <c r="Y50" s="233"/>
      <c r="Z50" s="233"/>
      <c r="AA50" s="233"/>
      <c r="AB50" s="233"/>
      <c r="AC50" s="233"/>
      <c r="AD50" s="233"/>
      <c r="AE50" s="234"/>
    </row>
    <row r="51" spans="2:31" ht="20" customHeight="1">
      <c r="B51" s="219" t="s">
        <v>28</v>
      </c>
      <c r="C51" s="220"/>
      <c r="D51" s="220"/>
      <c r="E51" s="220"/>
      <c r="F51" s="220"/>
      <c r="G51" s="165"/>
      <c r="H51" s="165"/>
      <c r="I51" s="165"/>
      <c r="J51" s="165"/>
      <c r="K51" s="165"/>
      <c r="L51" s="223"/>
      <c r="M51" s="223"/>
      <c r="N51" s="223"/>
      <c r="O51" s="233"/>
      <c r="P51" s="233"/>
      <c r="Q51" s="233"/>
      <c r="R51" s="233"/>
      <c r="S51" s="233"/>
      <c r="T51" s="233"/>
      <c r="U51" s="233"/>
      <c r="V51" s="233"/>
      <c r="W51" s="233"/>
      <c r="X51" s="233"/>
      <c r="Y51" s="233"/>
      <c r="Z51" s="233"/>
      <c r="AA51" s="233"/>
      <c r="AB51" s="233"/>
      <c r="AC51" s="233"/>
      <c r="AD51" s="233"/>
      <c r="AE51" s="234"/>
    </row>
    <row r="52" spans="2:31" ht="20" customHeight="1">
      <c r="B52" s="219"/>
      <c r="C52" s="220"/>
      <c r="D52" s="220"/>
      <c r="E52" s="220"/>
      <c r="F52" s="220"/>
      <c r="G52" s="165"/>
      <c r="H52" s="165"/>
      <c r="I52" s="165"/>
      <c r="J52" s="165"/>
      <c r="K52" s="165"/>
      <c r="L52" s="223"/>
      <c r="M52" s="223"/>
      <c r="N52" s="223"/>
      <c r="O52" s="233"/>
      <c r="P52" s="233"/>
      <c r="Q52" s="233"/>
      <c r="R52" s="233"/>
      <c r="S52" s="233"/>
      <c r="T52" s="233"/>
      <c r="U52" s="233"/>
      <c r="V52" s="233"/>
      <c r="W52" s="233"/>
      <c r="X52" s="233"/>
      <c r="Y52" s="233"/>
      <c r="Z52" s="233"/>
      <c r="AA52" s="233"/>
      <c r="AB52" s="233"/>
      <c r="AC52" s="233"/>
      <c r="AD52" s="233"/>
      <c r="AE52" s="234"/>
    </row>
    <row r="53" spans="2:31" ht="20" customHeight="1">
      <c r="B53" s="219" t="s">
        <v>31</v>
      </c>
      <c r="C53" s="220"/>
      <c r="D53" s="220"/>
      <c r="E53" s="220"/>
      <c r="F53" s="220"/>
      <c r="G53" s="166" t="s">
        <v>103</v>
      </c>
      <c r="H53" s="166"/>
      <c r="I53" s="166"/>
      <c r="J53" s="166"/>
      <c r="K53" s="166"/>
      <c r="L53" s="223" t="s">
        <v>32</v>
      </c>
      <c r="M53" s="220"/>
      <c r="N53" s="220"/>
      <c r="O53" s="224"/>
      <c r="P53" s="225"/>
      <c r="Q53" s="225"/>
      <c r="R53" s="225"/>
      <c r="S53" s="225"/>
      <c r="T53" s="225"/>
      <c r="U53" s="225"/>
      <c r="V53" s="225"/>
      <c r="W53" s="225"/>
      <c r="X53" s="225"/>
      <c r="Y53" s="225"/>
      <c r="Z53" s="225"/>
      <c r="AA53" s="225"/>
      <c r="AB53" s="225"/>
      <c r="AC53" s="225"/>
      <c r="AD53" s="225"/>
      <c r="AE53" s="226"/>
    </row>
    <row r="54" spans="2:31" ht="20" customHeight="1" thickBot="1">
      <c r="B54" s="221"/>
      <c r="C54" s="222"/>
      <c r="D54" s="222"/>
      <c r="E54" s="222"/>
      <c r="F54" s="222"/>
      <c r="G54" s="167"/>
      <c r="H54" s="167"/>
      <c r="I54" s="167"/>
      <c r="J54" s="167"/>
      <c r="K54" s="167"/>
      <c r="L54" s="222"/>
      <c r="M54" s="222"/>
      <c r="N54" s="222"/>
      <c r="O54" s="227"/>
      <c r="P54" s="228"/>
      <c r="Q54" s="228"/>
      <c r="R54" s="228"/>
      <c r="S54" s="228"/>
      <c r="T54" s="228"/>
      <c r="U54" s="228"/>
      <c r="V54" s="228"/>
      <c r="W54" s="228"/>
      <c r="X54" s="228"/>
      <c r="Y54" s="228"/>
      <c r="Z54" s="228"/>
      <c r="AA54" s="228"/>
      <c r="AB54" s="228"/>
      <c r="AC54" s="228"/>
      <c r="AD54" s="228"/>
      <c r="AE54" s="229"/>
    </row>
  </sheetData>
  <dataConsolidate/>
  <mergeCells count="108">
    <mergeCell ref="G41:I41"/>
    <mergeCell ref="J41:L41"/>
    <mergeCell ref="M41:N41"/>
    <mergeCell ref="O41:R41"/>
    <mergeCell ref="G43:I43"/>
    <mergeCell ref="J43:R43"/>
    <mergeCell ref="G44:I45"/>
    <mergeCell ref="J44:R45"/>
    <mergeCell ref="B31:F45"/>
    <mergeCell ref="O32:R32"/>
    <mergeCell ref="O33:R33"/>
    <mergeCell ref="O34:R34"/>
    <mergeCell ref="G35:I35"/>
    <mergeCell ref="O35:R35"/>
    <mergeCell ref="M35:N35"/>
    <mergeCell ref="M36:N36"/>
    <mergeCell ref="M34:N34"/>
    <mergeCell ref="G5:AE5"/>
    <mergeCell ref="J38:L38"/>
    <mergeCell ref="J39:L39"/>
    <mergeCell ref="J40:L40"/>
    <mergeCell ref="J42:L42"/>
    <mergeCell ref="J33:L33"/>
    <mergeCell ref="J36:L36"/>
    <mergeCell ref="J37:L37"/>
    <mergeCell ref="J34:L34"/>
    <mergeCell ref="J35:L35"/>
    <mergeCell ref="G34:I34"/>
    <mergeCell ref="S20:W20"/>
    <mergeCell ref="S21:W22"/>
    <mergeCell ref="X19:AE19"/>
    <mergeCell ref="X20:AE20"/>
    <mergeCell ref="X21:AE22"/>
    <mergeCell ref="O36:R36"/>
    <mergeCell ref="O37:R37"/>
    <mergeCell ref="O38:R38"/>
    <mergeCell ref="O39:R39"/>
    <mergeCell ref="O40:R40"/>
    <mergeCell ref="S31:AE31"/>
    <mergeCell ref="S39:AE39"/>
    <mergeCell ref="M37:N37"/>
    <mergeCell ref="B53:F54"/>
    <mergeCell ref="L53:N54"/>
    <mergeCell ref="O53:AE54"/>
    <mergeCell ref="B49:F49"/>
    <mergeCell ref="B51:F52"/>
    <mergeCell ref="B50:F50"/>
    <mergeCell ref="L49:N52"/>
    <mergeCell ref="O49:AE52"/>
    <mergeCell ref="K2:M2"/>
    <mergeCell ref="N2:P2"/>
    <mergeCell ref="Q2:T2"/>
    <mergeCell ref="J32:L32"/>
    <mergeCell ref="G20:K20"/>
    <mergeCell ref="G19:K19"/>
    <mergeCell ref="L19:R19"/>
    <mergeCell ref="L20:R20"/>
    <mergeCell ref="G12:AE12"/>
    <mergeCell ref="G13:AE17"/>
    <mergeCell ref="G18:R18"/>
    <mergeCell ref="S18:AE18"/>
    <mergeCell ref="G23:AE23"/>
    <mergeCell ref="G24:AE26"/>
    <mergeCell ref="G27:AE27"/>
    <mergeCell ref="G28:AE30"/>
    <mergeCell ref="B2:F2"/>
    <mergeCell ref="G2:J2"/>
    <mergeCell ref="U4:X4"/>
    <mergeCell ref="G4:T4"/>
    <mergeCell ref="Y4:AE4"/>
    <mergeCell ref="B4:F4"/>
    <mergeCell ref="AC2:AE2"/>
    <mergeCell ref="U2:X2"/>
    <mergeCell ref="Y2:AB2"/>
    <mergeCell ref="B11:F11"/>
    <mergeCell ref="G11:AE11"/>
    <mergeCell ref="B6:F10"/>
    <mergeCell ref="G6:AE10"/>
    <mergeCell ref="G22:K22"/>
    <mergeCell ref="G21:K21"/>
    <mergeCell ref="L21:R21"/>
    <mergeCell ref="L22:R22"/>
    <mergeCell ref="S19:W19"/>
    <mergeCell ref="B12:F22"/>
    <mergeCell ref="B23:F30"/>
    <mergeCell ref="S40:AE45"/>
    <mergeCell ref="S32:AE38"/>
    <mergeCell ref="B5:F5"/>
    <mergeCell ref="G49:K49"/>
    <mergeCell ref="G50:K50"/>
    <mergeCell ref="G51:K52"/>
    <mergeCell ref="G53:K54"/>
    <mergeCell ref="G31:R31"/>
    <mergeCell ref="M38:N38"/>
    <mergeCell ref="M39:N39"/>
    <mergeCell ref="M40:N40"/>
    <mergeCell ref="M42:N42"/>
    <mergeCell ref="O42:R42"/>
    <mergeCell ref="G40:I40"/>
    <mergeCell ref="G42:I42"/>
    <mergeCell ref="G33:I33"/>
    <mergeCell ref="G32:I32"/>
    <mergeCell ref="G36:I36"/>
    <mergeCell ref="G37:I37"/>
    <mergeCell ref="G38:I38"/>
    <mergeCell ref="G39:I39"/>
    <mergeCell ref="M32:N32"/>
    <mergeCell ref="M33:N33"/>
  </mergeCells>
  <phoneticPr fontId="2"/>
  <conditionalFormatting sqref="L19:R22">
    <cfRule type="cellIs" dxfId="12" priority="1" operator="lessThan">
      <formula>0</formula>
    </cfRule>
  </conditionalFormatting>
  <dataValidations count="20">
    <dataValidation type="list" allowBlank="1" showInputMessage="1" showErrorMessage="1" sqref="G49" xr:uid="{00000000-0002-0000-0000-000000000000}">
      <formula1>"承認,却下"</formula1>
    </dataValidation>
    <dataValidation type="list" allowBlank="1" showInputMessage="1" showErrorMessage="1" sqref="Y4:AE4" xr:uid="{00000000-0002-0000-0000-000001000000}">
      <formula1>"Needs-in(顧客起点),Seeds-in(課題認識)"</formula1>
    </dataValidation>
    <dataValidation type="date" allowBlank="1" showInputMessage="1" showErrorMessage="1" error="日期错误" prompt="制表日期_x000a_20**/**/**" sqref="G2:J2" xr:uid="{00000000-0002-0000-0000-000002000000}">
      <formula1>36891</formula1>
      <formula2>66111</formula2>
    </dataValidation>
    <dataValidation allowBlank="1" showInputMessage="1" showErrorMessage="1" prompt="PM姓名" sqref="N2:P2" xr:uid="{00000000-0002-0000-0000-000003000000}"/>
    <dataValidation type="date" allowBlank="1" showInputMessage="1" showErrorMessage="1" error="非日期格式" prompt="最后一次更新该表的日期" sqref="U2:X2" xr:uid="{00000000-0002-0000-0000-000004000000}">
      <formula1>36891</formula1>
      <formula2>66111</formula2>
    </dataValidation>
    <dataValidation allowBlank="1" showInputMessage="1" prompt="最后一次更新者的姓名" sqref="AC2:AE2" xr:uid="{00000000-0002-0000-0000-000005000000}"/>
    <dataValidation allowBlank="1" showInputMessage="1" showErrorMessage="1" prompt="简单描述该项目以及需要做的事" sqref="G6:AE10" xr:uid="{00000000-0002-0000-0000-000006000000}"/>
    <dataValidation allowBlank="1" showInputMessage="1" showErrorMessage="1" prompt="填写客户公司名或供应商名" sqref="G5:AE5" xr:uid="{00000000-0002-0000-0000-000007000000}"/>
    <dataValidation allowBlank="1" showInputMessage="1" showErrorMessage="1" prompt="项目名称" sqref="G4:T4" xr:uid="{00000000-0002-0000-0000-000008000000}"/>
    <dataValidation allowBlank="1" showInputMessage="1" showErrorMessage="1" prompt="嵌入附件" sqref="G11:AE11" xr:uid="{00000000-0002-0000-0000-000009000000}"/>
    <dataValidation type="textLength" operator="equal" allowBlank="1" showErrorMessage="1" error="灰色区域请勿填写" sqref="L19:R19" xr:uid="{00000000-0002-0000-0000-00000A000000}">
      <formula1>0</formula1>
    </dataValidation>
    <dataValidation type="textLength" operator="equal" allowBlank="1" showInputMessage="1" showErrorMessage="1" error="灰色区域请勿填写" sqref="L20:R22 J33:R43" xr:uid="{00000000-0002-0000-0000-00000B000000}">
      <formula1>0</formula1>
    </dataValidation>
    <dataValidation allowBlank="1" showInputMessage="1" showErrorMessage="1" prompt="简述项目所能创造的价值和使客户满足的地方" sqref="G13:AE17" xr:uid="{00000000-0002-0000-0000-00000C000000}"/>
    <dataValidation allowBlank="1" showInputMessage="1" showErrorMessage="1" prompt="项目启动日（计划）" sqref="X19:AE19" xr:uid="{00000000-0002-0000-0000-00000D000000}"/>
    <dataValidation allowBlank="1" showInputMessage="1" showErrorMessage="1" prompt="项目结束日（计划）" sqref="X20:AE20" xr:uid="{00000000-0002-0000-0000-00000E000000}"/>
    <dataValidation allowBlank="1" showInputMessage="1" showErrorMessage="1" prompt="简述该项目能够解决的问题与课题" sqref="G24:AE26" xr:uid="{00000000-0002-0000-0000-00000F000000}"/>
    <dataValidation allowBlank="1" showInputMessage="1" showErrorMessage="1" prompt="通过哪些体验能够使得客户满意" sqref="G28:AE30" xr:uid="{00000000-0002-0000-0000-000010000000}"/>
    <dataValidation allowBlank="1" showInputMessage="1" showErrorMessage="1" prompt="特别事项" sqref="J44:R45" xr:uid="{00000000-0002-0000-0000-000012000000}"/>
    <dataValidation allowBlank="1" showInputMessage="1" showErrorMessage="1" prompt="通过该项目组织、个人能力将得到怎样的成长" sqref="S32:AE38" xr:uid="{00000000-0002-0000-0000-000013000000}"/>
    <dataValidation allowBlank="1" showInputMessage="1" showErrorMessage="1" prompt="是否能够积累组织能够广泛运用的方法论或知识财产" sqref="S40:AE45" xr:uid="{00000000-0002-0000-0000-000014000000}"/>
  </dataValidations>
  <printOptions horizontalCentered="1"/>
  <pageMargins left="0.47244094488188981" right="0.35433070866141736" top="0.55000000000000004" bottom="0.44" header="0.31496062992125984" footer="0.22"/>
  <pageSetup paperSize="9" scale="69" orientation="portrait" r:id="rId1"/>
  <headerFooter>
    <oddHeader>&amp;C&amp;"Meiryo UI,太字"&amp;14&amp;K000000&amp;A&amp;R&amp;F</oddHeader>
    <oddFooter>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B1:T56"/>
  <sheetViews>
    <sheetView zoomScale="85" zoomScaleNormal="85" workbookViewId="0">
      <selection activeCell="E11" sqref="E11:E12"/>
    </sheetView>
  </sheetViews>
  <sheetFormatPr baseColWidth="10" defaultColWidth="8.7109375" defaultRowHeight="16"/>
  <cols>
    <col min="1" max="1" width="1.7109375" customWidth="1"/>
    <col min="2" max="2" width="5.140625" style="21" customWidth="1"/>
    <col min="3" max="3" width="8.28515625" customWidth="1"/>
    <col min="4" max="4" width="5.42578125" customWidth="1"/>
    <col min="6" max="6" width="6.140625" style="21" customWidth="1"/>
    <col min="7" max="7" width="6.140625" style="21" hidden="1" customWidth="1"/>
    <col min="8" max="12" width="11" bestFit="1" customWidth="1"/>
    <col min="13" max="19" width="11.140625" customWidth="1"/>
  </cols>
  <sheetData>
    <row r="1" spans="2:20" ht="8" customHeight="1" thickBot="1"/>
    <row r="2" spans="2:20" s="2" customFormat="1" ht="30" customHeight="1">
      <c r="B2" s="279" t="s">
        <v>91</v>
      </c>
      <c r="C2" s="280"/>
      <c r="D2" s="280"/>
      <c r="E2" s="71" t="s">
        <v>90</v>
      </c>
      <c r="F2" s="70" t="s">
        <v>89</v>
      </c>
      <c r="G2" s="125"/>
      <c r="H2" s="58">
        <f>プロジェクト計画書!X19</f>
        <v>44287</v>
      </c>
      <c r="I2" s="57">
        <f>EDATE(H2,1)</f>
        <v>44317</v>
      </c>
      <c r="J2" s="57">
        <f t="shared" ref="J2" si="0">EDATE(I2,1)</f>
        <v>44348</v>
      </c>
      <c r="K2" s="57">
        <f>EDATE(J2,1)</f>
        <v>44378</v>
      </c>
      <c r="L2" s="57">
        <f t="shared" ref="L2" si="1">EDATE(K2,1)</f>
        <v>44409</v>
      </c>
      <c r="M2" s="57">
        <f t="shared" ref="M2" si="2">EDATE(L2,1)</f>
        <v>44440</v>
      </c>
      <c r="N2" s="57">
        <f t="shared" ref="N2" si="3">EDATE(M2,1)</f>
        <v>44470</v>
      </c>
      <c r="O2" s="57">
        <f t="shared" ref="O2" si="4">EDATE(N2,1)</f>
        <v>44501</v>
      </c>
      <c r="P2" s="57">
        <f t="shared" ref="P2" si="5">EDATE(O2,1)</f>
        <v>44531</v>
      </c>
      <c r="Q2" s="57">
        <f t="shared" ref="Q2" si="6">EDATE(P2,1)</f>
        <v>44562</v>
      </c>
      <c r="R2" s="57">
        <f t="shared" ref="R2" si="7">EDATE(Q2,1)</f>
        <v>44593</v>
      </c>
      <c r="S2" s="63">
        <f t="shared" ref="S2" si="8">EDATE(R2,1)</f>
        <v>44621</v>
      </c>
      <c r="T2" s="64" t="s">
        <v>55</v>
      </c>
    </row>
    <row r="3" spans="2:20">
      <c r="B3" s="281" t="s">
        <v>114</v>
      </c>
      <c r="C3" s="282"/>
      <c r="D3" s="283"/>
      <c r="E3" s="287">
        <v>84</v>
      </c>
      <c r="F3" s="289" t="s">
        <v>119</v>
      </c>
      <c r="G3" s="126"/>
      <c r="H3" s="107"/>
      <c r="I3" s="108"/>
      <c r="J3" s="108"/>
      <c r="K3" s="108"/>
      <c r="L3" s="108"/>
      <c r="M3" s="108"/>
      <c r="N3" s="108"/>
      <c r="O3" s="108"/>
      <c r="P3" s="77"/>
      <c r="Q3" s="77"/>
      <c r="R3" s="77"/>
      <c r="S3" s="77"/>
      <c r="T3" s="65"/>
    </row>
    <row r="4" spans="2:20" s="21" customFormat="1" ht="15" customHeight="1">
      <c r="B4" s="284"/>
      <c r="C4" s="285"/>
      <c r="D4" s="286"/>
      <c r="E4" s="288"/>
      <c r="F4" s="290"/>
      <c r="G4" s="127"/>
      <c r="H4" s="109"/>
      <c r="I4" s="110"/>
      <c r="J4" s="110"/>
      <c r="K4" s="110"/>
      <c r="L4" s="110"/>
      <c r="M4" s="110"/>
      <c r="N4" s="110"/>
      <c r="O4" s="110"/>
      <c r="P4" s="78"/>
      <c r="Q4" s="78"/>
      <c r="R4" s="78"/>
      <c r="S4" s="78"/>
      <c r="T4" s="68"/>
    </row>
    <row r="5" spans="2:20" s="21" customFormat="1">
      <c r="B5" s="284" t="s">
        <v>120</v>
      </c>
      <c r="C5" s="285"/>
      <c r="D5" s="286"/>
      <c r="E5" s="288">
        <v>22</v>
      </c>
      <c r="F5" s="290" t="s">
        <v>118</v>
      </c>
      <c r="G5" s="128"/>
      <c r="H5" s="111"/>
      <c r="I5" s="112"/>
      <c r="J5" s="112"/>
      <c r="K5" s="112"/>
      <c r="L5" s="112"/>
      <c r="M5" s="112"/>
      <c r="N5" s="112"/>
      <c r="O5" s="112"/>
      <c r="P5" s="79"/>
      <c r="Q5" s="79"/>
      <c r="R5" s="79"/>
      <c r="S5" s="79"/>
      <c r="T5" s="68"/>
    </row>
    <row r="6" spans="2:20">
      <c r="B6" s="284"/>
      <c r="C6" s="285"/>
      <c r="D6" s="286"/>
      <c r="E6" s="288"/>
      <c r="F6" s="290"/>
      <c r="G6" s="127"/>
      <c r="H6" s="113"/>
      <c r="I6" s="110"/>
      <c r="J6" s="110"/>
      <c r="K6" s="110"/>
      <c r="L6" s="110"/>
      <c r="M6" s="110"/>
      <c r="N6" s="110"/>
      <c r="O6" s="110"/>
      <c r="P6" s="78"/>
      <c r="Q6" s="78"/>
      <c r="R6" s="78"/>
      <c r="S6" s="78"/>
      <c r="T6" s="66"/>
    </row>
    <row r="7" spans="2:20" ht="15" customHeight="1">
      <c r="B7" s="284" t="s">
        <v>121</v>
      </c>
      <c r="C7" s="285"/>
      <c r="D7" s="286"/>
      <c r="E7" s="288">
        <v>24</v>
      </c>
      <c r="F7" s="290" t="s">
        <v>118</v>
      </c>
      <c r="G7" s="128"/>
      <c r="H7" s="114"/>
      <c r="I7" s="112"/>
      <c r="J7" s="112"/>
      <c r="K7" s="112"/>
      <c r="L7" s="112"/>
      <c r="M7" s="112"/>
      <c r="N7" s="112"/>
      <c r="O7" s="112"/>
      <c r="P7" s="79"/>
      <c r="Q7" s="79"/>
      <c r="R7" s="79"/>
      <c r="S7" s="79"/>
      <c r="T7" s="66"/>
    </row>
    <row r="8" spans="2:20">
      <c r="B8" s="284"/>
      <c r="C8" s="285"/>
      <c r="D8" s="286"/>
      <c r="E8" s="288"/>
      <c r="F8" s="290"/>
      <c r="G8" s="127"/>
      <c r="H8" s="115"/>
      <c r="I8" s="116"/>
      <c r="J8" s="116"/>
      <c r="K8" s="116"/>
      <c r="L8" s="116"/>
      <c r="M8" s="116"/>
      <c r="N8" s="116"/>
      <c r="O8" s="116"/>
      <c r="P8" s="80"/>
      <c r="Q8" s="80"/>
      <c r="R8" s="80"/>
      <c r="S8" s="80"/>
      <c r="T8" s="66"/>
    </row>
    <row r="9" spans="2:20" ht="15" customHeight="1">
      <c r="B9" s="284" t="s">
        <v>115</v>
      </c>
      <c r="C9" s="285"/>
      <c r="D9" s="286"/>
      <c r="E9" s="288">
        <v>28</v>
      </c>
      <c r="F9" s="290" t="s">
        <v>118</v>
      </c>
      <c r="G9" s="128"/>
      <c r="H9" s="117"/>
      <c r="I9" s="118"/>
      <c r="J9" s="118"/>
      <c r="K9" s="118"/>
      <c r="L9" s="118"/>
      <c r="M9" s="118"/>
      <c r="N9" s="118"/>
      <c r="O9" s="118"/>
      <c r="P9" s="81"/>
      <c r="Q9" s="81"/>
      <c r="R9" s="81"/>
      <c r="S9" s="81"/>
      <c r="T9" s="66"/>
    </row>
    <row r="10" spans="2:20">
      <c r="B10" s="284"/>
      <c r="C10" s="285"/>
      <c r="D10" s="286"/>
      <c r="E10" s="288"/>
      <c r="F10" s="290"/>
      <c r="G10" s="127"/>
      <c r="H10" s="115"/>
      <c r="I10" s="119"/>
      <c r="J10" s="119"/>
      <c r="K10" s="119"/>
      <c r="L10" s="119"/>
      <c r="M10" s="119"/>
      <c r="N10" s="119"/>
      <c r="O10" s="119"/>
      <c r="P10" s="82"/>
      <c r="Q10" s="82"/>
      <c r="R10" s="82"/>
      <c r="S10" s="82"/>
      <c r="T10" s="66"/>
    </row>
    <row r="11" spans="2:20" ht="15.75" customHeight="1">
      <c r="B11" s="291" t="s">
        <v>116</v>
      </c>
      <c r="C11" s="292"/>
      <c r="D11" s="293"/>
      <c r="E11" s="297">
        <v>26</v>
      </c>
      <c r="F11" s="299" t="s">
        <v>118</v>
      </c>
      <c r="G11" s="128"/>
      <c r="H11" s="117"/>
      <c r="I11" s="118"/>
      <c r="J11" s="118"/>
      <c r="K11" s="118"/>
      <c r="L11" s="118"/>
      <c r="M11" s="118"/>
      <c r="N11" s="118"/>
      <c r="O11" s="118"/>
      <c r="P11" s="81"/>
      <c r="Q11" s="81"/>
      <c r="R11" s="81"/>
      <c r="S11" s="81"/>
      <c r="T11" s="66"/>
    </row>
    <row r="12" spans="2:20">
      <c r="B12" s="294"/>
      <c r="C12" s="295"/>
      <c r="D12" s="296"/>
      <c r="E12" s="298"/>
      <c r="F12" s="300"/>
      <c r="G12" s="127"/>
      <c r="H12" s="115"/>
      <c r="I12" s="119"/>
      <c r="J12" s="119"/>
      <c r="K12" s="119"/>
      <c r="L12" s="119"/>
      <c r="M12" s="119"/>
      <c r="N12" s="119"/>
      <c r="O12" s="119"/>
      <c r="P12" s="82"/>
      <c r="Q12" s="82"/>
      <c r="R12" s="82"/>
      <c r="S12" s="82"/>
      <c r="T12" s="66"/>
    </row>
    <row r="13" spans="2:20" s="21" customFormat="1" ht="15.75" customHeight="1">
      <c r="B13" s="291" t="s">
        <v>117</v>
      </c>
      <c r="C13" s="292"/>
      <c r="D13" s="293"/>
      <c r="E13" s="297">
        <v>28</v>
      </c>
      <c r="F13" s="299" t="s">
        <v>118</v>
      </c>
      <c r="G13" s="128"/>
      <c r="H13" s="111"/>
      <c r="I13" s="112"/>
      <c r="J13" s="112"/>
      <c r="K13" s="112"/>
      <c r="L13" s="112"/>
      <c r="M13" s="112"/>
      <c r="N13" s="112"/>
      <c r="O13" s="112"/>
      <c r="P13" s="79"/>
      <c r="Q13" s="79"/>
      <c r="R13" s="79"/>
      <c r="S13" s="79"/>
      <c r="T13" s="68"/>
    </row>
    <row r="14" spans="2:20">
      <c r="B14" s="294"/>
      <c r="C14" s="295"/>
      <c r="D14" s="296"/>
      <c r="E14" s="298"/>
      <c r="F14" s="300"/>
      <c r="G14" s="127"/>
      <c r="H14" s="113"/>
      <c r="I14" s="110"/>
      <c r="J14" s="110"/>
      <c r="K14" s="110"/>
      <c r="L14" s="110"/>
      <c r="M14" s="110"/>
      <c r="N14" s="110"/>
      <c r="O14" s="110"/>
      <c r="P14" s="78"/>
      <c r="Q14" s="78"/>
      <c r="R14" s="78"/>
      <c r="S14" s="78"/>
      <c r="T14" s="66"/>
    </row>
    <row r="15" spans="2:20" ht="15" customHeight="1">
      <c r="B15" s="291"/>
      <c r="C15" s="292"/>
      <c r="D15" s="293"/>
      <c r="E15" s="297"/>
      <c r="F15" s="299"/>
      <c r="G15" s="128"/>
      <c r="H15" s="114"/>
      <c r="I15" s="112"/>
      <c r="J15" s="112"/>
      <c r="K15" s="112"/>
      <c r="L15" s="112"/>
      <c r="M15" s="112"/>
      <c r="N15" s="112"/>
      <c r="O15" s="112"/>
      <c r="P15" s="79"/>
      <c r="Q15" s="79"/>
      <c r="R15" s="79"/>
      <c r="S15" s="79"/>
      <c r="T15" s="66"/>
    </row>
    <row r="16" spans="2:20">
      <c r="B16" s="294"/>
      <c r="C16" s="295"/>
      <c r="D16" s="296"/>
      <c r="E16" s="298"/>
      <c r="F16" s="300"/>
      <c r="G16" s="127"/>
      <c r="H16" s="115"/>
      <c r="I16" s="116"/>
      <c r="J16" s="116"/>
      <c r="K16" s="116"/>
      <c r="L16" s="116"/>
      <c r="M16" s="116"/>
      <c r="N16" s="116"/>
      <c r="O16" s="116"/>
      <c r="P16" s="80"/>
      <c r="Q16" s="80"/>
      <c r="R16" s="80"/>
      <c r="S16" s="80"/>
      <c r="T16" s="66"/>
    </row>
    <row r="17" spans="2:20" ht="15" customHeight="1">
      <c r="B17" s="284"/>
      <c r="C17" s="285"/>
      <c r="D17" s="286"/>
      <c r="E17" s="288"/>
      <c r="F17" s="290"/>
      <c r="G17" s="128"/>
      <c r="H17" s="117"/>
      <c r="I17" s="118"/>
      <c r="J17" s="118"/>
      <c r="K17" s="118"/>
      <c r="L17" s="118"/>
      <c r="M17" s="118"/>
      <c r="N17" s="118"/>
      <c r="O17" s="118"/>
      <c r="P17" s="81"/>
      <c r="Q17" s="81"/>
      <c r="R17" s="81"/>
      <c r="S17" s="81"/>
      <c r="T17" s="66"/>
    </row>
    <row r="18" spans="2:20">
      <c r="B18" s="284"/>
      <c r="C18" s="285"/>
      <c r="D18" s="286"/>
      <c r="E18" s="288"/>
      <c r="F18" s="290"/>
      <c r="G18" s="127"/>
      <c r="H18" s="115"/>
      <c r="I18" s="119"/>
      <c r="J18" s="119"/>
      <c r="K18" s="119"/>
      <c r="L18" s="119"/>
      <c r="M18" s="119"/>
      <c r="N18" s="119"/>
      <c r="O18" s="119"/>
      <c r="P18" s="82"/>
      <c r="Q18" s="82"/>
      <c r="R18" s="82"/>
      <c r="S18" s="82"/>
      <c r="T18" s="66"/>
    </row>
    <row r="19" spans="2:20">
      <c r="B19" s="284"/>
      <c r="C19" s="285"/>
      <c r="D19" s="286"/>
      <c r="E19" s="288"/>
      <c r="F19" s="290"/>
      <c r="G19" s="128"/>
      <c r="H19" s="117"/>
      <c r="I19" s="118"/>
      <c r="J19" s="118"/>
      <c r="K19" s="118"/>
      <c r="L19" s="118"/>
      <c r="M19" s="118"/>
      <c r="N19" s="118"/>
      <c r="O19" s="118"/>
      <c r="P19" s="81"/>
      <c r="Q19" s="81"/>
      <c r="R19" s="81"/>
      <c r="S19" s="81"/>
      <c r="T19" s="66"/>
    </row>
    <row r="20" spans="2:20">
      <c r="B20" s="284"/>
      <c r="C20" s="285"/>
      <c r="D20" s="286"/>
      <c r="E20" s="288"/>
      <c r="F20" s="290"/>
      <c r="G20" s="127"/>
      <c r="H20" s="115"/>
      <c r="I20" s="119"/>
      <c r="J20" s="119"/>
      <c r="K20" s="119"/>
      <c r="L20" s="119"/>
      <c r="M20" s="119"/>
      <c r="N20" s="119"/>
      <c r="O20" s="119"/>
      <c r="P20" s="82"/>
      <c r="Q20" s="82"/>
      <c r="R20" s="82"/>
      <c r="S20" s="82"/>
      <c r="T20" s="66"/>
    </row>
    <row r="21" spans="2:20" ht="17" thickBot="1">
      <c r="B21" s="72"/>
      <c r="C21" s="73"/>
      <c r="D21" s="73"/>
      <c r="E21" s="74"/>
      <c r="F21" s="75"/>
      <c r="G21" s="73"/>
      <c r="H21" s="76"/>
      <c r="I21" s="74"/>
      <c r="J21" s="74"/>
      <c r="K21" s="74"/>
      <c r="L21" s="74"/>
      <c r="M21" s="74"/>
      <c r="N21" s="74"/>
      <c r="O21" s="74"/>
      <c r="P21" s="83"/>
      <c r="Q21" s="83"/>
      <c r="R21" s="83"/>
      <c r="S21" s="83"/>
      <c r="T21" s="67"/>
    </row>
    <row r="22" spans="2:20" ht="17" thickBot="1"/>
    <row r="23" spans="2:20" s="2" customFormat="1" ht="30" customHeight="1" thickBot="1">
      <c r="B23" s="301" t="s">
        <v>78</v>
      </c>
      <c r="C23" s="302"/>
      <c r="D23" s="302"/>
      <c r="E23" s="302"/>
      <c r="F23" s="303"/>
      <c r="G23" s="124"/>
      <c r="H23" s="11">
        <f>プロジェクト計画書!X19</f>
        <v>44287</v>
      </c>
      <c r="I23" s="12">
        <f>EDATE(H23,1)</f>
        <v>44317</v>
      </c>
      <c r="J23" s="12">
        <f t="shared" ref="J23:S23" si="9">EDATE(I23,1)</f>
        <v>44348</v>
      </c>
      <c r="K23" s="12">
        <f t="shared" si="9"/>
        <v>44378</v>
      </c>
      <c r="L23" s="12">
        <f t="shared" si="9"/>
        <v>44409</v>
      </c>
      <c r="M23" s="12">
        <f t="shared" si="9"/>
        <v>44440</v>
      </c>
      <c r="N23" s="12">
        <f t="shared" si="9"/>
        <v>44470</v>
      </c>
      <c r="O23" s="12">
        <f t="shared" si="9"/>
        <v>44501</v>
      </c>
      <c r="P23" s="12">
        <f t="shared" si="9"/>
        <v>44531</v>
      </c>
      <c r="Q23" s="12">
        <f t="shared" si="9"/>
        <v>44562</v>
      </c>
      <c r="R23" s="12">
        <f t="shared" si="9"/>
        <v>44593</v>
      </c>
      <c r="S23" s="84">
        <f t="shared" si="9"/>
        <v>44621</v>
      </c>
      <c r="T23" s="96" t="s">
        <v>2</v>
      </c>
    </row>
    <row r="24" spans="2:20">
      <c r="B24" s="22" t="s">
        <v>11</v>
      </c>
      <c r="C24" s="26" t="s">
        <v>20</v>
      </c>
      <c r="D24" s="48"/>
      <c r="E24" s="6"/>
      <c r="F24" s="15" t="s">
        <v>1</v>
      </c>
      <c r="G24" s="129"/>
      <c r="H24" s="9">
        <v>33000</v>
      </c>
      <c r="I24" s="10">
        <v>33000</v>
      </c>
      <c r="J24" s="10">
        <v>34000</v>
      </c>
      <c r="K24" s="10">
        <v>16000</v>
      </c>
      <c r="L24" s="10">
        <v>16000</v>
      </c>
      <c r="M24" s="10">
        <v>16000</v>
      </c>
      <c r="N24" s="10">
        <v>16000</v>
      </c>
      <c r="O24" s="10">
        <v>16000</v>
      </c>
      <c r="P24" s="10"/>
      <c r="Q24" s="10"/>
      <c r="R24" s="10"/>
      <c r="S24" s="85"/>
      <c r="T24" s="97">
        <f>SUM(H24:S24)</f>
        <v>180000</v>
      </c>
    </row>
    <row r="25" spans="2:20">
      <c r="B25" s="22"/>
      <c r="C25" s="27"/>
      <c r="D25" s="49"/>
      <c r="E25" s="5"/>
      <c r="F25" s="16" t="s">
        <v>0</v>
      </c>
      <c r="G25" s="130"/>
      <c r="H25" s="42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86"/>
      <c r="T25" s="98">
        <f t="shared" ref="T25:T29" si="10">SUM(H25:S25)</f>
        <v>0</v>
      </c>
    </row>
    <row r="26" spans="2:20">
      <c r="B26" s="22"/>
      <c r="C26" s="28" t="s">
        <v>21</v>
      </c>
      <c r="D26" s="50"/>
      <c r="E26" s="4"/>
      <c r="F26" s="17" t="s">
        <v>1</v>
      </c>
      <c r="G26" s="131"/>
      <c r="H26" s="34">
        <f t="shared" ref="H26:S26" si="11">$G$32*H32+$G$38*H38+$G$40*H40+$G$42*H42+$G$44*H44+$G$46*H46+$G$48*H48+$G$50*H50</f>
        <v>0</v>
      </c>
      <c r="I26" s="34">
        <f t="shared" si="11"/>
        <v>0</v>
      </c>
      <c r="J26" s="34">
        <f t="shared" si="11"/>
        <v>0</v>
      </c>
      <c r="K26" s="34">
        <f t="shared" si="11"/>
        <v>0</v>
      </c>
      <c r="L26" s="34">
        <f t="shared" si="11"/>
        <v>0</v>
      </c>
      <c r="M26" s="34">
        <f t="shared" si="11"/>
        <v>0</v>
      </c>
      <c r="N26" s="34">
        <f t="shared" si="11"/>
        <v>0</v>
      </c>
      <c r="O26" s="34">
        <f t="shared" si="11"/>
        <v>0</v>
      </c>
      <c r="P26" s="34">
        <f t="shared" si="11"/>
        <v>0</v>
      </c>
      <c r="Q26" s="34">
        <f t="shared" si="11"/>
        <v>0</v>
      </c>
      <c r="R26" s="34">
        <f t="shared" si="11"/>
        <v>0</v>
      </c>
      <c r="S26" s="34">
        <f t="shared" si="11"/>
        <v>0</v>
      </c>
      <c r="T26" s="99">
        <f t="shared" si="10"/>
        <v>0</v>
      </c>
    </row>
    <row r="27" spans="2:20">
      <c r="B27" s="22"/>
      <c r="C27" s="27"/>
      <c r="D27" s="49"/>
      <c r="E27" s="5"/>
      <c r="F27" s="16" t="s">
        <v>0</v>
      </c>
      <c r="G27" s="130"/>
      <c r="H27" s="42">
        <f>$G$33*H33+$G$39*H39+$G$41*H41+$G$43*H43+$G$45*H45+$G$47*H47+$G$49*H49+$G$51*H51</f>
        <v>0</v>
      </c>
      <c r="I27" s="42">
        <f t="shared" ref="I27:R27" si="12">$G$33*I33+$G$39*I39+$G$41*I41+$G$43*I43+$G$45*I45+$G$47*I47+$G$49*I49+$G$51*I51</f>
        <v>0</v>
      </c>
      <c r="J27" s="42">
        <f t="shared" si="12"/>
        <v>0</v>
      </c>
      <c r="K27" s="42">
        <f t="shared" si="12"/>
        <v>0</v>
      </c>
      <c r="L27" s="42">
        <f t="shared" si="12"/>
        <v>0</v>
      </c>
      <c r="M27" s="42">
        <f t="shared" si="12"/>
        <v>0</v>
      </c>
      <c r="N27" s="42">
        <f t="shared" si="12"/>
        <v>0</v>
      </c>
      <c r="O27" s="42">
        <f t="shared" si="12"/>
        <v>0</v>
      </c>
      <c r="P27" s="42">
        <f t="shared" si="12"/>
        <v>0</v>
      </c>
      <c r="Q27" s="42">
        <f t="shared" si="12"/>
        <v>0</v>
      </c>
      <c r="R27" s="42">
        <f t="shared" si="12"/>
        <v>0</v>
      </c>
      <c r="S27" s="42">
        <f>$G$33*S33+$G$39*S39+$G$41*S41+$G$43*S43+$G$45*S45+$G$47*S47+$G$49*S49+$G$51*S51</f>
        <v>0</v>
      </c>
      <c r="T27" s="98">
        <f t="shared" si="10"/>
        <v>0</v>
      </c>
    </row>
    <row r="28" spans="2:20">
      <c r="B28" s="22"/>
      <c r="C28" s="28" t="s">
        <v>22</v>
      </c>
      <c r="D28" s="50" t="s">
        <v>76</v>
      </c>
      <c r="E28" s="30"/>
      <c r="F28" s="17" t="s">
        <v>1</v>
      </c>
      <c r="G28" s="131"/>
      <c r="H28" s="35">
        <f>H24-H26</f>
        <v>33000</v>
      </c>
      <c r="I28" s="36">
        <f t="shared" ref="I28:Q28" si="13">I24-I26</f>
        <v>33000</v>
      </c>
      <c r="J28" s="36">
        <f t="shared" si="13"/>
        <v>34000</v>
      </c>
      <c r="K28" s="36">
        <f t="shared" si="13"/>
        <v>16000</v>
      </c>
      <c r="L28" s="36">
        <f t="shared" si="13"/>
        <v>16000</v>
      </c>
      <c r="M28" s="36">
        <f t="shared" si="13"/>
        <v>16000</v>
      </c>
      <c r="N28" s="36">
        <f t="shared" si="13"/>
        <v>16000</v>
      </c>
      <c r="O28" s="36">
        <f t="shared" si="13"/>
        <v>16000</v>
      </c>
      <c r="P28" s="36">
        <f t="shared" si="13"/>
        <v>0</v>
      </c>
      <c r="Q28" s="36">
        <f t="shared" si="13"/>
        <v>0</v>
      </c>
      <c r="R28" s="36">
        <f>R24-R26</f>
        <v>0</v>
      </c>
      <c r="S28" s="87">
        <f t="shared" ref="S28" si="14">S24-S26</f>
        <v>0</v>
      </c>
      <c r="T28" s="99">
        <f t="shared" si="10"/>
        <v>180000</v>
      </c>
    </row>
    <row r="29" spans="2:20">
      <c r="B29" s="22"/>
      <c r="C29" s="27"/>
      <c r="D29" s="49"/>
      <c r="E29" s="5"/>
      <c r="F29" s="16" t="s">
        <v>0</v>
      </c>
      <c r="G29" s="130"/>
      <c r="H29" s="37">
        <f>H25-H27</f>
        <v>0</v>
      </c>
      <c r="I29" s="38">
        <f t="shared" ref="I29:Q29" si="15">I25-I27</f>
        <v>0</v>
      </c>
      <c r="J29" s="38">
        <f t="shared" si="15"/>
        <v>0</v>
      </c>
      <c r="K29" s="38">
        <f t="shared" si="15"/>
        <v>0</v>
      </c>
      <c r="L29" s="38">
        <f t="shared" si="15"/>
        <v>0</v>
      </c>
      <c r="M29" s="38">
        <f t="shared" si="15"/>
        <v>0</v>
      </c>
      <c r="N29" s="38">
        <f t="shared" si="15"/>
        <v>0</v>
      </c>
      <c r="O29" s="38">
        <f t="shared" si="15"/>
        <v>0</v>
      </c>
      <c r="P29" s="38">
        <f t="shared" si="15"/>
        <v>0</v>
      </c>
      <c r="Q29" s="38">
        <f t="shared" si="15"/>
        <v>0</v>
      </c>
      <c r="R29" s="38">
        <f>R25-R27</f>
        <v>0</v>
      </c>
      <c r="S29" s="88">
        <f t="shared" ref="S29" si="16">S25-S27</f>
        <v>0</v>
      </c>
      <c r="T29" s="98">
        <f t="shared" si="10"/>
        <v>0</v>
      </c>
    </row>
    <row r="30" spans="2:20">
      <c r="B30" s="22"/>
      <c r="C30" s="28" t="s">
        <v>23</v>
      </c>
      <c r="D30" s="50" t="s">
        <v>77</v>
      </c>
      <c r="E30" s="30"/>
      <c r="F30" s="17" t="s">
        <v>1</v>
      </c>
      <c r="G30" s="131"/>
      <c r="H30" s="39">
        <f>H28/H24</f>
        <v>1</v>
      </c>
      <c r="I30" s="40">
        <f t="shared" ref="I30:Q30" si="17">I28/I24</f>
        <v>1</v>
      </c>
      <c r="J30" s="40">
        <f t="shared" si="17"/>
        <v>1</v>
      </c>
      <c r="K30" s="40">
        <f t="shared" si="17"/>
        <v>1</v>
      </c>
      <c r="L30" s="40">
        <f t="shared" si="17"/>
        <v>1</v>
      </c>
      <c r="M30" s="40">
        <f t="shared" si="17"/>
        <v>1</v>
      </c>
      <c r="N30" s="40">
        <f t="shared" si="17"/>
        <v>1</v>
      </c>
      <c r="O30" s="40">
        <f t="shared" si="17"/>
        <v>1</v>
      </c>
      <c r="P30" s="40" t="e">
        <f t="shared" si="17"/>
        <v>#DIV/0!</v>
      </c>
      <c r="Q30" s="40" t="e">
        <f t="shared" si="17"/>
        <v>#DIV/0!</v>
      </c>
      <c r="R30" s="40" t="e">
        <f>R28/R24</f>
        <v>#DIV/0!</v>
      </c>
      <c r="S30" s="89" t="e">
        <f t="shared" ref="S30" si="18">S28/S24</f>
        <v>#DIV/0!</v>
      </c>
      <c r="T30" s="100">
        <f>T28/T24</f>
        <v>1</v>
      </c>
    </row>
    <row r="31" spans="2:20" ht="17" thickBot="1">
      <c r="B31" s="22"/>
      <c r="C31" s="29"/>
      <c r="D31" s="48"/>
      <c r="E31" s="6"/>
      <c r="F31" s="18" t="s">
        <v>0</v>
      </c>
      <c r="G31" s="132"/>
      <c r="H31" s="137" t="e">
        <f>H29/H25</f>
        <v>#DIV/0!</v>
      </c>
      <c r="I31" s="138" t="e">
        <f t="shared" ref="I31:Q31" si="19">I29/I25</f>
        <v>#DIV/0!</v>
      </c>
      <c r="J31" s="138" t="e">
        <f t="shared" si="19"/>
        <v>#DIV/0!</v>
      </c>
      <c r="K31" s="138" t="e">
        <f t="shared" si="19"/>
        <v>#DIV/0!</v>
      </c>
      <c r="L31" s="138" t="e">
        <f t="shared" si="19"/>
        <v>#DIV/0!</v>
      </c>
      <c r="M31" s="138" t="e">
        <f t="shared" si="19"/>
        <v>#DIV/0!</v>
      </c>
      <c r="N31" s="138" t="e">
        <f t="shared" si="19"/>
        <v>#DIV/0!</v>
      </c>
      <c r="O31" s="138" t="e">
        <f t="shared" si="19"/>
        <v>#DIV/0!</v>
      </c>
      <c r="P31" s="41" t="e">
        <f t="shared" si="19"/>
        <v>#DIV/0!</v>
      </c>
      <c r="Q31" s="41" t="e">
        <f t="shared" si="19"/>
        <v>#DIV/0!</v>
      </c>
      <c r="R31" s="41" t="e">
        <f>R29/R25</f>
        <v>#DIV/0!</v>
      </c>
      <c r="S31" s="90" t="e">
        <f t="shared" ref="S31" si="20">S29/S25</f>
        <v>#DIV/0!</v>
      </c>
      <c r="T31" s="101" t="e">
        <f>T29/T25</f>
        <v>#DIV/0!</v>
      </c>
    </row>
    <row r="32" spans="2:20">
      <c r="B32" s="23" t="s">
        <v>12</v>
      </c>
      <c r="C32" s="26" t="s">
        <v>3</v>
      </c>
      <c r="D32" s="54" t="s">
        <v>74</v>
      </c>
      <c r="E32" s="135" t="s">
        <v>106</v>
      </c>
      <c r="F32" s="19" t="s">
        <v>1</v>
      </c>
      <c r="G32" s="133"/>
      <c r="H32" s="122">
        <v>4</v>
      </c>
      <c r="I32" s="123">
        <v>6</v>
      </c>
      <c r="J32" s="123">
        <v>2</v>
      </c>
      <c r="K32" s="123">
        <v>4</v>
      </c>
      <c r="L32" s="123">
        <v>2</v>
      </c>
      <c r="M32" s="123">
        <v>2</v>
      </c>
      <c r="N32" s="123">
        <v>2</v>
      </c>
      <c r="O32" s="123">
        <v>4</v>
      </c>
      <c r="P32" s="13"/>
      <c r="Q32" s="13"/>
      <c r="R32" s="13"/>
      <c r="S32" s="91"/>
      <c r="T32" s="102">
        <f>SUM(H32:S32)</f>
        <v>26</v>
      </c>
    </row>
    <row r="33" spans="2:20">
      <c r="B33" s="24"/>
      <c r="C33" s="51"/>
      <c r="D33" s="55" t="s">
        <v>75</v>
      </c>
      <c r="E33" s="7" t="s">
        <v>93</v>
      </c>
      <c r="F33" s="16" t="s">
        <v>0</v>
      </c>
      <c r="G33" s="130"/>
      <c r="H33" s="44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92"/>
      <c r="T33" s="103">
        <f t="shared" ref="T33:T41" si="21">SUM(H33:S33)</f>
        <v>0</v>
      </c>
    </row>
    <row r="34" spans="2:20">
      <c r="B34" s="22"/>
      <c r="C34" s="28" t="s">
        <v>4</v>
      </c>
      <c r="D34" s="30" t="s">
        <v>74</v>
      </c>
      <c r="E34" s="14"/>
      <c r="F34" s="17" t="s">
        <v>1</v>
      </c>
      <c r="G34" s="131"/>
      <c r="H34" s="8"/>
      <c r="I34" s="3"/>
      <c r="J34" s="3"/>
      <c r="K34" s="3"/>
      <c r="L34" s="3"/>
      <c r="M34" s="3"/>
      <c r="N34" s="3"/>
      <c r="O34" s="3"/>
      <c r="P34" s="3"/>
      <c r="Q34" s="3"/>
      <c r="R34" s="3"/>
      <c r="S34" s="93"/>
      <c r="T34" s="104">
        <f t="shared" si="21"/>
        <v>0</v>
      </c>
    </row>
    <row r="35" spans="2:20">
      <c r="B35" s="24"/>
      <c r="C35" s="51"/>
      <c r="D35" s="55" t="s">
        <v>75</v>
      </c>
      <c r="E35" s="69" t="s">
        <v>83</v>
      </c>
      <c r="F35" s="16" t="s">
        <v>0</v>
      </c>
      <c r="G35" s="130"/>
      <c r="H35" s="44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92"/>
      <c r="T35" s="103">
        <f t="shared" si="21"/>
        <v>0</v>
      </c>
    </row>
    <row r="36" spans="2:20">
      <c r="B36" s="22"/>
      <c r="C36" s="28" t="s">
        <v>24</v>
      </c>
      <c r="D36" s="30" t="s">
        <v>74</v>
      </c>
      <c r="E36" s="136" t="s">
        <v>107</v>
      </c>
      <c r="F36" s="17" t="s">
        <v>1</v>
      </c>
      <c r="G36" s="131"/>
      <c r="H36" s="8"/>
      <c r="I36" s="8"/>
      <c r="J36" s="8"/>
      <c r="K36" s="8"/>
      <c r="L36" s="8"/>
      <c r="M36" s="3"/>
      <c r="N36" s="3"/>
      <c r="O36" s="3"/>
      <c r="P36" s="3"/>
      <c r="Q36" s="3"/>
      <c r="R36" s="3"/>
      <c r="S36" s="93"/>
      <c r="T36" s="104">
        <f t="shared" si="21"/>
        <v>0</v>
      </c>
    </row>
    <row r="37" spans="2:20">
      <c r="B37" s="24"/>
      <c r="C37" s="51"/>
      <c r="D37" s="55" t="s">
        <v>75</v>
      </c>
      <c r="E37" s="69" t="s">
        <v>83</v>
      </c>
      <c r="F37" s="16" t="s">
        <v>0</v>
      </c>
      <c r="G37" s="130"/>
      <c r="H37" s="44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92"/>
      <c r="T37" s="103">
        <f t="shared" si="21"/>
        <v>0</v>
      </c>
    </row>
    <row r="38" spans="2:20">
      <c r="B38" s="24"/>
      <c r="C38" s="29" t="s">
        <v>5</v>
      </c>
      <c r="D38" s="30" t="s">
        <v>74</v>
      </c>
      <c r="E38" s="136" t="s">
        <v>108</v>
      </c>
      <c r="F38" s="17" t="s">
        <v>1</v>
      </c>
      <c r="G38" s="131"/>
      <c r="H38" s="120">
        <v>40</v>
      </c>
      <c r="I38" s="121">
        <v>20</v>
      </c>
      <c r="J38" s="121">
        <v>4</v>
      </c>
      <c r="K38" s="121">
        <v>8</v>
      </c>
      <c r="L38" s="121">
        <v>4</v>
      </c>
      <c r="M38" s="121">
        <v>8</v>
      </c>
      <c r="N38" s="121">
        <v>4</v>
      </c>
      <c r="O38" s="121">
        <v>8</v>
      </c>
      <c r="P38" s="3"/>
      <c r="Q38" s="3"/>
      <c r="R38" s="3"/>
      <c r="S38" s="93"/>
      <c r="T38" s="104">
        <f t="shared" ref="T38:T39" si="22">SUM(H38:S38)</f>
        <v>96</v>
      </c>
    </row>
    <row r="39" spans="2:20">
      <c r="B39" s="24"/>
      <c r="C39" s="52"/>
      <c r="D39" s="55" t="s">
        <v>75</v>
      </c>
      <c r="E39" s="69" t="s">
        <v>83</v>
      </c>
      <c r="F39" s="16" t="s">
        <v>0</v>
      </c>
      <c r="G39" s="130"/>
      <c r="H39" s="44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92"/>
      <c r="T39" s="103">
        <f t="shared" si="22"/>
        <v>0</v>
      </c>
    </row>
    <row r="40" spans="2:20">
      <c r="B40" s="22"/>
      <c r="C40" s="28" t="s">
        <v>6</v>
      </c>
      <c r="D40" s="30" t="s">
        <v>74</v>
      </c>
      <c r="E40" s="136" t="s">
        <v>109</v>
      </c>
      <c r="F40" s="17" t="s">
        <v>1</v>
      </c>
      <c r="G40" s="131"/>
      <c r="H40" s="120">
        <v>40</v>
      </c>
      <c r="I40" s="121">
        <v>20</v>
      </c>
      <c r="J40" s="121">
        <v>4</v>
      </c>
      <c r="K40" s="121">
        <v>8</v>
      </c>
      <c r="L40" s="121">
        <v>4</v>
      </c>
      <c r="M40" s="121">
        <v>8</v>
      </c>
      <c r="N40" s="121">
        <v>4</v>
      </c>
      <c r="O40" s="121">
        <v>8</v>
      </c>
      <c r="P40" s="3"/>
      <c r="Q40" s="3"/>
      <c r="R40" s="3"/>
      <c r="S40" s="93"/>
      <c r="T40" s="104">
        <f t="shared" si="21"/>
        <v>96</v>
      </c>
    </row>
    <row r="41" spans="2:20">
      <c r="B41" s="24"/>
      <c r="C41" s="51"/>
      <c r="D41" s="55" t="s">
        <v>75</v>
      </c>
      <c r="E41" s="69" t="s">
        <v>83</v>
      </c>
      <c r="F41" s="16" t="s">
        <v>0</v>
      </c>
      <c r="G41" s="130"/>
      <c r="H41" s="44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92"/>
      <c r="T41" s="103">
        <f t="shared" si="21"/>
        <v>0</v>
      </c>
    </row>
    <row r="42" spans="2:20">
      <c r="B42" s="22"/>
      <c r="C42" s="28" t="s">
        <v>7</v>
      </c>
      <c r="D42" s="30" t="s">
        <v>74</v>
      </c>
      <c r="E42" s="31" t="s">
        <v>83</v>
      </c>
      <c r="F42" s="17" t="s">
        <v>1</v>
      </c>
      <c r="G42" s="131"/>
      <c r="H42" s="8"/>
      <c r="I42" s="3"/>
      <c r="J42" s="3"/>
      <c r="K42" s="3"/>
      <c r="L42" s="3"/>
      <c r="M42" s="3"/>
      <c r="N42" s="3"/>
      <c r="O42" s="3"/>
      <c r="P42" s="3"/>
      <c r="Q42" s="3"/>
      <c r="R42" s="3"/>
      <c r="S42" s="93"/>
      <c r="T42" s="104">
        <f t="shared" ref="T42:T51" si="23">SUM(H42:S42)</f>
        <v>0</v>
      </c>
    </row>
    <row r="43" spans="2:20">
      <c r="B43" s="24"/>
      <c r="C43" s="51"/>
      <c r="D43" s="55" t="s">
        <v>75</v>
      </c>
      <c r="E43" s="69" t="s">
        <v>83</v>
      </c>
      <c r="F43" s="16" t="s">
        <v>0</v>
      </c>
      <c r="G43" s="130"/>
      <c r="H43" s="44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92"/>
      <c r="T43" s="103">
        <f t="shared" si="23"/>
        <v>0</v>
      </c>
    </row>
    <row r="44" spans="2:20">
      <c r="B44" s="22"/>
      <c r="C44" s="28" t="s">
        <v>8</v>
      </c>
      <c r="D44" s="30" t="s">
        <v>74</v>
      </c>
      <c r="E44" s="31" t="s">
        <v>83</v>
      </c>
      <c r="F44" s="17" t="s">
        <v>1</v>
      </c>
      <c r="G44" s="131"/>
      <c r="H44" s="8"/>
      <c r="I44" s="3"/>
      <c r="J44" s="3"/>
      <c r="K44" s="3"/>
      <c r="L44" s="3"/>
      <c r="M44" s="3"/>
      <c r="N44" s="3"/>
      <c r="O44" s="3"/>
      <c r="P44" s="3"/>
      <c r="Q44" s="3"/>
      <c r="R44" s="3"/>
      <c r="S44" s="93"/>
      <c r="T44" s="104">
        <f t="shared" si="23"/>
        <v>0</v>
      </c>
    </row>
    <row r="45" spans="2:20">
      <c r="B45" s="24"/>
      <c r="C45" s="51"/>
      <c r="D45" s="55" t="s">
        <v>75</v>
      </c>
      <c r="E45" s="69" t="s">
        <v>83</v>
      </c>
      <c r="F45" s="16" t="s">
        <v>0</v>
      </c>
      <c r="G45" s="130"/>
      <c r="H45" s="44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92"/>
      <c r="T45" s="103">
        <f t="shared" si="23"/>
        <v>0</v>
      </c>
    </row>
    <row r="46" spans="2:20">
      <c r="B46" s="22"/>
      <c r="C46" s="28" t="s">
        <v>9</v>
      </c>
      <c r="D46" s="30" t="s">
        <v>74</v>
      </c>
      <c r="E46" s="31" t="s">
        <v>83</v>
      </c>
      <c r="F46" s="17" t="s">
        <v>1</v>
      </c>
      <c r="G46" s="131"/>
      <c r="H46" s="8"/>
      <c r="I46" s="3"/>
      <c r="J46" s="3"/>
      <c r="K46" s="3"/>
      <c r="L46" s="3"/>
      <c r="M46" s="3"/>
      <c r="N46" s="3"/>
      <c r="O46" s="3"/>
      <c r="P46" s="3"/>
      <c r="Q46" s="3"/>
      <c r="R46" s="3"/>
      <c r="S46" s="93"/>
      <c r="T46" s="104">
        <f t="shared" si="23"/>
        <v>0</v>
      </c>
    </row>
    <row r="47" spans="2:20">
      <c r="B47" s="24"/>
      <c r="C47" s="51"/>
      <c r="D47" s="55" t="s">
        <v>75</v>
      </c>
      <c r="E47" s="69" t="s">
        <v>83</v>
      </c>
      <c r="F47" s="16" t="s">
        <v>0</v>
      </c>
      <c r="G47" s="130"/>
      <c r="H47" s="44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92"/>
      <c r="T47" s="103">
        <f t="shared" si="23"/>
        <v>0</v>
      </c>
    </row>
    <row r="48" spans="2:20">
      <c r="B48" s="22"/>
      <c r="C48" s="28" t="s">
        <v>10</v>
      </c>
      <c r="D48" s="30" t="s">
        <v>25</v>
      </c>
      <c r="E48" s="31" t="s">
        <v>83</v>
      </c>
      <c r="F48" s="17" t="s">
        <v>1</v>
      </c>
      <c r="G48" s="131"/>
      <c r="H48" s="8"/>
      <c r="I48" s="3"/>
      <c r="J48" s="3"/>
      <c r="K48" s="3"/>
      <c r="L48" s="3"/>
      <c r="M48" s="3"/>
      <c r="N48" s="3"/>
      <c r="O48" s="3"/>
      <c r="P48" s="3"/>
      <c r="Q48" s="3"/>
      <c r="R48" s="3"/>
      <c r="S48" s="93"/>
      <c r="T48" s="104">
        <f t="shared" ref="T48:T49" si="24">SUM(H48:S48)</f>
        <v>0</v>
      </c>
    </row>
    <row r="49" spans="2:20">
      <c r="B49" s="62"/>
      <c r="C49" s="51"/>
      <c r="D49" s="55" t="s">
        <v>26</v>
      </c>
      <c r="E49" s="69" t="s">
        <v>83</v>
      </c>
      <c r="F49" s="16" t="s">
        <v>0</v>
      </c>
      <c r="G49" s="130"/>
      <c r="H49" s="61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92"/>
      <c r="T49" s="103">
        <f t="shared" si="24"/>
        <v>0</v>
      </c>
    </row>
    <row r="50" spans="2:20">
      <c r="B50" s="22"/>
      <c r="C50" s="29" t="s">
        <v>82</v>
      </c>
      <c r="D50" s="59" t="s">
        <v>74</v>
      </c>
      <c r="E50" s="31" t="s">
        <v>83</v>
      </c>
      <c r="F50" s="15" t="s">
        <v>1</v>
      </c>
      <c r="G50" s="129"/>
      <c r="H50" s="8"/>
      <c r="I50" s="3"/>
      <c r="J50" s="3"/>
      <c r="K50" s="3"/>
      <c r="L50" s="3"/>
      <c r="M50" s="3"/>
      <c r="N50" s="60"/>
      <c r="O50" s="60"/>
      <c r="P50" s="60"/>
      <c r="Q50" s="60"/>
      <c r="R50" s="60"/>
      <c r="S50" s="94"/>
      <c r="T50" s="105">
        <f t="shared" si="23"/>
        <v>0</v>
      </c>
    </row>
    <row r="51" spans="2:20" ht="17" thickBot="1">
      <c r="B51" s="25"/>
      <c r="C51" s="53"/>
      <c r="D51" s="56" t="s">
        <v>75</v>
      </c>
      <c r="E51" s="31" t="s">
        <v>83</v>
      </c>
      <c r="F51" s="20" t="s">
        <v>0</v>
      </c>
      <c r="G51" s="134"/>
      <c r="H51" s="46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95"/>
      <c r="T51" s="106">
        <f t="shared" si="23"/>
        <v>0</v>
      </c>
    </row>
    <row r="52" spans="2:20">
      <c r="B52" s="311" t="s">
        <v>84</v>
      </c>
      <c r="C52" s="304"/>
      <c r="D52" s="305"/>
      <c r="E52" s="305"/>
      <c r="F52" s="305"/>
      <c r="G52" s="305"/>
      <c r="H52" s="305"/>
      <c r="I52" s="305"/>
      <c r="J52" s="305"/>
      <c r="K52" s="305"/>
      <c r="L52" s="305"/>
      <c r="M52" s="305"/>
      <c r="N52" s="305"/>
      <c r="O52" s="305"/>
      <c r="P52" s="305"/>
      <c r="Q52" s="305"/>
      <c r="R52" s="305"/>
      <c r="S52" s="305"/>
      <c r="T52" s="306"/>
    </row>
    <row r="53" spans="2:20">
      <c r="B53" s="312"/>
      <c r="C53" s="307"/>
      <c r="D53" s="307"/>
      <c r="E53" s="307"/>
      <c r="F53" s="307"/>
      <c r="G53" s="307"/>
      <c r="H53" s="307"/>
      <c r="I53" s="307"/>
      <c r="J53" s="307"/>
      <c r="K53" s="307"/>
      <c r="L53" s="307"/>
      <c r="M53" s="307"/>
      <c r="N53" s="307"/>
      <c r="O53" s="307"/>
      <c r="P53" s="307"/>
      <c r="Q53" s="307"/>
      <c r="R53" s="307"/>
      <c r="S53" s="307"/>
      <c r="T53" s="308"/>
    </row>
    <row r="54" spans="2:20">
      <c r="B54" s="312"/>
      <c r="C54" s="307"/>
      <c r="D54" s="307"/>
      <c r="E54" s="307"/>
      <c r="F54" s="307"/>
      <c r="G54" s="307"/>
      <c r="H54" s="307"/>
      <c r="I54" s="307"/>
      <c r="J54" s="307"/>
      <c r="K54" s="307"/>
      <c r="L54" s="307"/>
      <c r="M54" s="307"/>
      <c r="N54" s="307"/>
      <c r="O54" s="307"/>
      <c r="P54" s="307"/>
      <c r="Q54" s="307"/>
      <c r="R54" s="307"/>
      <c r="S54" s="307"/>
      <c r="T54" s="308"/>
    </row>
    <row r="55" spans="2:20">
      <c r="B55" s="312"/>
      <c r="C55" s="307"/>
      <c r="D55" s="307"/>
      <c r="E55" s="307"/>
      <c r="F55" s="307"/>
      <c r="G55" s="307"/>
      <c r="H55" s="307"/>
      <c r="I55" s="307"/>
      <c r="J55" s="307"/>
      <c r="K55" s="307"/>
      <c r="L55" s="307"/>
      <c r="M55" s="307"/>
      <c r="N55" s="307"/>
      <c r="O55" s="307"/>
      <c r="P55" s="307"/>
      <c r="Q55" s="307"/>
      <c r="R55" s="307"/>
      <c r="S55" s="307"/>
      <c r="T55" s="308"/>
    </row>
    <row r="56" spans="2:20" ht="17" thickBot="1">
      <c r="B56" s="313"/>
      <c r="C56" s="309"/>
      <c r="D56" s="309"/>
      <c r="E56" s="309"/>
      <c r="F56" s="309"/>
      <c r="G56" s="309"/>
      <c r="H56" s="309"/>
      <c r="I56" s="309"/>
      <c r="J56" s="309"/>
      <c r="K56" s="309"/>
      <c r="L56" s="309"/>
      <c r="M56" s="309"/>
      <c r="N56" s="309"/>
      <c r="O56" s="309"/>
      <c r="P56" s="309"/>
      <c r="Q56" s="309"/>
      <c r="R56" s="309"/>
      <c r="S56" s="309"/>
      <c r="T56" s="310"/>
    </row>
  </sheetData>
  <mergeCells count="31">
    <mergeCell ref="B23:F23"/>
    <mergeCell ref="C52:T56"/>
    <mergeCell ref="B52:B56"/>
    <mergeCell ref="F7:F8"/>
    <mergeCell ref="B9:D10"/>
    <mergeCell ref="E9:E10"/>
    <mergeCell ref="F9:F10"/>
    <mergeCell ref="B19:D20"/>
    <mergeCell ref="E19:E20"/>
    <mergeCell ref="F19:F20"/>
    <mergeCell ref="B17:D18"/>
    <mergeCell ref="E17:E18"/>
    <mergeCell ref="F17:F18"/>
    <mergeCell ref="B15:D16"/>
    <mergeCell ref="E15:E16"/>
    <mergeCell ref="F15:F16"/>
    <mergeCell ref="B2:D2"/>
    <mergeCell ref="B3:D4"/>
    <mergeCell ref="E3:E4"/>
    <mergeCell ref="F3:F4"/>
    <mergeCell ref="B13:D14"/>
    <mergeCell ref="E13:E14"/>
    <mergeCell ref="F13:F14"/>
    <mergeCell ref="B5:D6"/>
    <mergeCell ref="E5:E6"/>
    <mergeCell ref="F5:F6"/>
    <mergeCell ref="B7:D8"/>
    <mergeCell ref="E7:E8"/>
    <mergeCell ref="B11:D12"/>
    <mergeCell ref="E11:E12"/>
    <mergeCell ref="F11:F12"/>
  </mergeCells>
  <phoneticPr fontId="2"/>
  <conditionalFormatting sqref="H28:S31">
    <cfRule type="cellIs" dxfId="11" priority="3" operator="lessThan">
      <formula>0</formula>
    </cfRule>
  </conditionalFormatting>
  <conditionalFormatting sqref="H28:T31">
    <cfRule type="cellIs" dxfId="10" priority="1" operator="lessThan">
      <formula>0</formula>
    </cfRule>
  </conditionalFormatting>
  <dataValidations count="5">
    <dataValidation type="textLength" operator="equal" allowBlank="1" showInputMessage="1" showErrorMessage="1" error="灰色区域请勿填写" sqref="H28:T31 T24:T27 T32:T51" xr:uid="{00000000-0002-0000-0100-000000000000}">
      <formula1>0</formula1>
    </dataValidation>
    <dataValidation allowBlank="1" showInputMessage="1" showErrorMessage="1" prompt="推进项目所需的业务项" sqref="B3:D4" xr:uid="{00000000-0002-0000-0100-000001000000}"/>
    <dataValidation allowBlank="1" showInputMessage="1" showErrorMessage="1" prompt="所需时间" sqref="E3:E4" xr:uid="{00000000-0002-0000-0100-000002000000}"/>
    <dataValidation allowBlank="1" showInputMessage="1" showErrorMessage="1" prompt="该项业务负责人" sqref="F3:G4" xr:uid="{00000000-0002-0000-0100-000003000000}"/>
    <dataValidation type="textLength" operator="equal" allowBlank="1" showInputMessage="1" showErrorMessage="1" error="无需填写_x000a_日期将参照计划书的项目启动日" sqref="H2:S2" xr:uid="{00000000-0002-0000-0100-000004000000}">
      <formula1>0</formula1>
    </dataValidation>
  </dataValidations>
  <printOptions horizontalCentered="1"/>
  <pageMargins left="0.47244094488188981" right="0.35433070866141736" top="0.62992125984251968" bottom="0.59055118110236227" header="0.31496062992125984" footer="0.31496062992125984"/>
  <pageSetup paperSize="9" scale="62" orientation="landscape" r:id="rId1"/>
  <headerFooter>
    <oddHeader>&amp;C&amp;"Meiryo UI,太字"&amp;14&amp;K000000&amp;A&amp;R&amp;F</oddHeader>
    <oddFooter>&amp;P / &amp;N ページ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B1:AE91"/>
  <sheetViews>
    <sheetView tabSelected="1" topLeftCell="A60" workbookViewId="0">
      <selection activeCell="L22" sqref="L22:N22"/>
    </sheetView>
  </sheetViews>
  <sheetFormatPr baseColWidth="10" defaultColWidth="3.7109375" defaultRowHeight="16"/>
  <cols>
    <col min="1" max="1" width="2.7109375" style="1" customWidth="1"/>
    <col min="2" max="16384" width="3.7109375" style="1"/>
  </cols>
  <sheetData>
    <row r="1" spans="2:31" ht="17" thickBot="1">
      <c r="B1" s="1" t="s">
        <v>72</v>
      </c>
      <c r="D1" s="33"/>
      <c r="E1" s="1" t="s">
        <v>73</v>
      </c>
    </row>
    <row r="2" spans="2:31" ht="20" customHeight="1" thickBot="1">
      <c r="B2" s="202" t="s">
        <v>13</v>
      </c>
      <c r="C2" s="203"/>
      <c r="D2" s="203"/>
      <c r="E2" s="203"/>
      <c r="F2" s="204"/>
      <c r="G2" s="214"/>
      <c r="H2" s="215"/>
      <c r="I2" s="215"/>
      <c r="J2" s="217"/>
      <c r="K2" s="218" t="s">
        <v>15</v>
      </c>
      <c r="L2" s="203"/>
      <c r="M2" s="204"/>
      <c r="N2" s="214"/>
      <c r="O2" s="215"/>
      <c r="P2" s="217"/>
      <c r="Q2" s="218" t="s">
        <v>14</v>
      </c>
      <c r="R2" s="203"/>
      <c r="S2" s="203"/>
      <c r="T2" s="204"/>
      <c r="U2" s="214"/>
      <c r="V2" s="215"/>
      <c r="W2" s="215"/>
      <c r="X2" s="217"/>
      <c r="Y2" s="218" t="s">
        <v>16</v>
      </c>
      <c r="Z2" s="203"/>
      <c r="AA2" s="203"/>
      <c r="AB2" s="204"/>
      <c r="AC2" s="214"/>
      <c r="AD2" s="215"/>
      <c r="AE2" s="216"/>
    </row>
    <row r="3" spans="2:31" ht="8" customHeight="1" thickBot="1"/>
    <row r="4" spans="2:31" ht="20" customHeight="1">
      <c r="B4" s="213" t="s">
        <v>17</v>
      </c>
      <c r="C4" s="208"/>
      <c r="D4" s="208"/>
      <c r="E4" s="208"/>
      <c r="F4" s="208"/>
      <c r="G4" s="388">
        <f>プロジェクト計画書!G4</f>
        <v>0</v>
      </c>
      <c r="H4" s="388"/>
      <c r="I4" s="388"/>
      <c r="J4" s="388"/>
      <c r="K4" s="388"/>
      <c r="L4" s="388"/>
      <c r="M4" s="388"/>
      <c r="N4" s="388"/>
      <c r="O4" s="388"/>
      <c r="P4" s="388"/>
      <c r="Q4" s="388"/>
      <c r="R4" s="388"/>
      <c r="S4" s="388"/>
      <c r="T4" s="388"/>
      <c r="U4" s="208" t="s">
        <v>18</v>
      </c>
      <c r="V4" s="208"/>
      <c r="W4" s="208"/>
      <c r="X4" s="208"/>
      <c r="Y4" s="389" t="str">
        <f>プロジェクト計画書!Y4</f>
        <v>Needs-in(顧客起点)</v>
      </c>
      <c r="Z4" s="389"/>
      <c r="AA4" s="389"/>
      <c r="AB4" s="389"/>
      <c r="AC4" s="389"/>
      <c r="AD4" s="389"/>
      <c r="AE4" s="390"/>
    </row>
    <row r="5" spans="2:31" ht="20" customHeight="1">
      <c r="B5" s="160" t="s">
        <v>19</v>
      </c>
      <c r="C5" s="161"/>
      <c r="D5" s="161"/>
      <c r="E5" s="161"/>
      <c r="F5" s="162"/>
      <c r="G5" s="370">
        <f>プロジェクト計画書!G5</f>
        <v>0</v>
      </c>
      <c r="H5" s="371"/>
      <c r="I5" s="371"/>
      <c r="J5" s="371"/>
      <c r="K5" s="371"/>
      <c r="L5" s="371"/>
      <c r="M5" s="371"/>
      <c r="N5" s="371"/>
      <c r="O5" s="371"/>
      <c r="P5" s="371"/>
      <c r="Q5" s="371"/>
      <c r="R5" s="371"/>
      <c r="S5" s="371"/>
      <c r="T5" s="371"/>
      <c r="U5" s="371"/>
      <c r="V5" s="371"/>
      <c r="W5" s="371"/>
      <c r="X5" s="371"/>
      <c r="Y5" s="371"/>
      <c r="Z5" s="371"/>
      <c r="AA5" s="371"/>
      <c r="AB5" s="371"/>
      <c r="AC5" s="371"/>
      <c r="AD5" s="371"/>
      <c r="AE5" s="372"/>
    </row>
    <row r="6" spans="2:31" ht="20" customHeight="1">
      <c r="B6" s="160" t="s">
        <v>81</v>
      </c>
      <c r="C6" s="161"/>
      <c r="D6" s="161"/>
      <c r="E6" s="161"/>
      <c r="F6" s="162"/>
      <c r="G6" s="379" t="str">
        <f>プロジェクト計画書!G6</f>
        <v>人事制度改善支援</v>
      </c>
      <c r="H6" s="380"/>
      <c r="I6" s="380"/>
      <c r="J6" s="380"/>
      <c r="K6" s="380"/>
      <c r="L6" s="380"/>
      <c r="M6" s="380"/>
      <c r="N6" s="380"/>
      <c r="O6" s="380"/>
      <c r="P6" s="380"/>
      <c r="Q6" s="380"/>
      <c r="R6" s="380"/>
      <c r="S6" s="380"/>
      <c r="T6" s="380"/>
      <c r="U6" s="380"/>
      <c r="V6" s="380"/>
      <c r="W6" s="380"/>
      <c r="X6" s="380"/>
      <c r="Y6" s="380"/>
      <c r="Z6" s="380"/>
      <c r="AA6" s="380"/>
      <c r="AB6" s="380"/>
      <c r="AC6" s="380"/>
      <c r="AD6" s="380"/>
      <c r="AE6" s="381"/>
    </row>
    <row r="7" spans="2:31" ht="20" customHeight="1">
      <c r="B7" s="183"/>
      <c r="C7" s="184"/>
      <c r="D7" s="184"/>
      <c r="E7" s="184"/>
      <c r="F7" s="185"/>
      <c r="G7" s="382"/>
      <c r="H7" s="383"/>
      <c r="I7" s="383"/>
      <c r="J7" s="383"/>
      <c r="K7" s="383"/>
      <c r="L7" s="383"/>
      <c r="M7" s="383"/>
      <c r="N7" s="383"/>
      <c r="O7" s="383"/>
      <c r="P7" s="383"/>
      <c r="Q7" s="383"/>
      <c r="R7" s="383"/>
      <c r="S7" s="383"/>
      <c r="T7" s="383"/>
      <c r="U7" s="383"/>
      <c r="V7" s="383"/>
      <c r="W7" s="383"/>
      <c r="X7" s="383"/>
      <c r="Y7" s="383"/>
      <c r="Z7" s="383"/>
      <c r="AA7" s="383"/>
      <c r="AB7" s="383"/>
      <c r="AC7" s="383"/>
      <c r="AD7" s="383"/>
      <c r="AE7" s="384"/>
    </row>
    <row r="8" spans="2:31" ht="20" customHeight="1">
      <c r="B8" s="183"/>
      <c r="C8" s="184"/>
      <c r="D8" s="184"/>
      <c r="E8" s="184"/>
      <c r="F8" s="185"/>
      <c r="G8" s="382"/>
      <c r="H8" s="383"/>
      <c r="I8" s="383"/>
      <c r="J8" s="383"/>
      <c r="K8" s="383"/>
      <c r="L8" s="383"/>
      <c r="M8" s="383"/>
      <c r="N8" s="383"/>
      <c r="O8" s="383"/>
      <c r="P8" s="383"/>
      <c r="Q8" s="383"/>
      <c r="R8" s="383"/>
      <c r="S8" s="383"/>
      <c r="T8" s="383"/>
      <c r="U8" s="383"/>
      <c r="V8" s="383"/>
      <c r="W8" s="383"/>
      <c r="X8" s="383"/>
      <c r="Y8" s="383"/>
      <c r="Z8" s="383"/>
      <c r="AA8" s="383"/>
      <c r="AB8" s="383"/>
      <c r="AC8" s="383"/>
      <c r="AD8" s="383"/>
      <c r="AE8" s="384"/>
    </row>
    <row r="9" spans="2:31" ht="20" customHeight="1">
      <c r="B9" s="183"/>
      <c r="C9" s="184"/>
      <c r="D9" s="184"/>
      <c r="E9" s="184"/>
      <c r="F9" s="185"/>
      <c r="G9" s="382"/>
      <c r="H9" s="383"/>
      <c r="I9" s="383"/>
      <c r="J9" s="383"/>
      <c r="K9" s="383"/>
      <c r="L9" s="383"/>
      <c r="M9" s="383"/>
      <c r="N9" s="383"/>
      <c r="O9" s="383"/>
      <c r="P9" s="383"/>
      <c r="Q9" s="383"/>
      <c r="R9" s="383"/>
      <c r="S9" s="383"/>
      <c r="T9" s="383"/>
      <c r="U9" s="383"/>
      <c r="V9" s="383"/>
      <c r="W9" s="383"/>
      <c r="X9" s="383"/>
      <c r="Y9" s="383"/>
      <c r="Z9" s="383"/>
      <c r="AA9" s="383"/>
      <c r="AB9" s="383"/>
      <c r="AC9" s="383"/>
      <c r="AD9" s="383"/>
      <c r="AE9" s="384"/>
    </row>
    <row r="10" spans="2:31" ht="20" customHeight="1">
      <c r="B10" s="186"/>
      <c r="C10" s="187"/>
      <c r="D10" s="187"/>
      <c r="E10" s="187"/>
      <c r="F10" s="188"/>
      <c r="G10" s="385"/>
      <c r="H10" s="386"/>
      <c r="I10" s="386"/>
      <c r="J10" s="386"/>
      <c r="K10" s="386"/>
      <c r="L10" s="386"/>
      <c r="M10" s="386"/>
      <c r="N10" s="386"/>
      <c r="O10" s="386"/>
      <c r="P10" s="386"/>
      <c r="Q10" s="386"/>
      <c r="R10" s="386"/>
      <c r="S10" s="386"/>
      <c r="T10" s="386"/>
      <c r="U10" s="386"/>
      <c r="V10" s="386"/>
      <c r="W10" s="386"/>
      <c r="X10" s="386"/>
      <c r="Y10" s="386"/>
      <c r="Z10" s="386"/>
      <c r="AA10" s="386"/>
      <c r="AB10" s="386"/>
      <c r="AC10" s="386"/>
      <c r="AD10" s="386"/>
      <c r="AE10" s="387"/>
    </row>
    <row r="11" spans="2:31" ht="20" customHeight="1">
      <c r="B11" s="177" t="s">
        <v>79</v>
      </c>
      <c r="C11" s="178"/>
      <c r="D11" s="178"/>
      <c r="E11" s="178"/>
      <c r="F11" s="179"/>
      <c r="G11" s="180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2"/>
    </row>
    <row r="12" spans="2:31" ht="20" customHeight="1">
      <c r="B12" s="139"/>
      <c r="C12" s="140"/>
      <c r="D12" s="140"/>
      <c r="E12" s="140"/>
      <c r="F12" s="141"/>
      <c r="G12" s="235" t="s">
        <v>57</v>
      </c>
      <c r="H12" s="235"/>
      <c r="I12" s="235"/>
      <c r="J12" s="235"/>
      <c r="K12" s="235"/>
      <c r="L12" s="235"/>
      <c r="M12" s="235"/>
      <c r="N12" s="235"/>
      <c r="O12" s="235"/>
      <c r="P12" s="235"/>
      <c r="Q12" s="235"/>
      <c r="R12" s="235"/>
      <c r="S12" s="235"/>
      <c r="T12" s="235"/>
      <c r="U12" s="235"/>
      <c r="V12" s="235"/>
      <c r="W12" s="235"/>
      <c r="X12" s="235"/>
      <c r="Y12" s="235"/>
      <c r="Z12" s="235"/>
      <c r="AA12" s="235"/>
      <c r="AB12" s="235"/>
      <c r="AC12" s="235"/>
      <c r="AD12" s="235"/>
      <c r="AE12" s="236"/>
    </row>
    <row r="13" spans="2:31" ht="20" customHeight="1">
      <c r="B13" s="142"/>
      <c r="C13" s="143"/>
      <c r="D13" s="143"/>
      <c r="E13" s="143"/>
      <c r="F13" s="144"/>
      <c r="G13" s="345"/>
      <c r="H13" s="346"/>
      <c r="I13" s="346"/>
      <c r="J13" s="346"/>
      <c r="K13" s="346"/>
      <c r="L13" s="346"/>
      <c r="M13" s="346"/>
      <c r="N13" s="346"/>
      <c r="O13" s="346"/>
      <c r="P13" s="346"/>
      <c r="Q13" s="346"/>
      <c r="R13" s="346"/>
      <c r="S13" s="346"/>
      <c r="T13" s="346"/>
      <c r="U13" s="346"/>
      <c r="V13" s="346"/>
      <c r="W13" s="346"/>
      <c r="X13" s="346"/>
      <c r="Y13" s="346"/>
      <c r="Z13" s="346"/>
      <c r="AA13" s="346"/>
      <c r="AB13" s="346"/>
      <c r="AC13" s="346"/>
      <c r="AD13" s="346"/>
      <c r="AE13" s="347"/>
    </row>
    <row r="14" spans="2:31" ht="20" customHeight="1">
      <c r="B14" s="142"/>
      <c r="C14" s="143"/>
      <c r="D14" s="143"/>
      <c r="E14" s="143"/>
      <c r="F14" s="144"/>
      <c r="G14" s="348"/>
      <c r="H14" s="349"/>
      <c r="I14" s="349"/>
      <c r="J14" s="349"/>
      <c r="K14" s="349"/>
      <c r="L14" s="349"/>
      <c r="M14" s="349"/>
      <c r="N14" s="349"/>
      <c r="O14" s="349"/>
      <c r="P14" s="349"/>
      <c r="Q14" s="349"/>
      <c r="R14" s="349"/>
      <c r="S14" s="349"/>
      <c r="T14" s="349"/>
      <c r="U14" s="349"/>
      <c r="V14" s="349"/>
      <c r="W14" s="349"/>
      <c r="X14" s="349"/>
      <c r="Y14" s="349"/>
      <c r="Z14" s="349"/>
      <c r="AA14" s="349"/>
      <c r="AB14" s="349"/>
      <c r="AC14" s="349"/>
      <c r="AD14" s="349"/>
      <c r="AE14" s="350"/>
    </row>
    <row r="15" spans="2:31" ht="20" customHeight="1">
      <c r="B15" s="142"/>
      <c r="C15" s="143"/>
      <c r="D15" s="143"/>
      <c r="E15" s="143"/>
      <c r="F15" s="144"/>
      <c r="G15" s="348"/>
      <c r="H15" s="349"/>
      <c r="I15" s="349"/>
      <c r="J15" s="349"/>
      <c r="K15" s="349"/>
      <c r="L15" s="349"/>
      <c r="M15" s="349"/>
      <c r="N15" s="349"/>
      <c r="O15" s="349"/>
      <c r="P15" s="349"/>
      <c r="Q15" s="349"/>
      <c r="R15" s="349"/>
      <c r="S15" s="349"/>
      <c r="T15" s="349"/>
      <c r="U15" s="349"/>
      <c r="V15" s="349"/>
      <c r="W15" s="349"/>
      <c r="X15" s="349"/>
      <c r="Y15" s="349"/>
      <c r="Z15" s="349"/>
      <c r="AA15" s="349"/>
      <c r="AB15" s="349"/>
      <c r="AC15" s="349"/>
      <c r="AD15" s="349"/>
      <c r="AE15" s="350"/>
    </row>
    <row r="16" spans="2:31" ht="20" customHeight="1">
      <c r="B16" s="142"/>
      <c r="C16" s="143"/>
      <c r="D16" s="143"/>
      <c r="E16" s="143"/>
      <c r="F16" s="144"/>
      <c r="G16" s="348"/>
      <c r="H16" s="349"/>
      <c r="I16" s="349"/>
      <c r="J16" s="349"/>
      <c r="K16" s="349"/>
      <c r="L16" s="349"/>
      <c r="M16" s="349"/>
      <c r="N16" s="349"/>
      <c r="O16" s="349"/>
      <c r="P16" s="349"/>
      <c r="Q16" s="349"/>
      <c r="R16" s="349"/>
      <c r="S16" s="349"/>
      <c r="T16" s="349"/>
      <c r="U16" s="349"/>
      <c r="V16" s="349"/>
      <c r="W16" s="349"/>
      <c r="X16" s="349"/>
      <c r="Y16" s="349"/>
      <c r="Z16" s="349"/>
      <c r="AA16" s="349"/>
      <c r="AB16" s="349"/>
      <c r="AC16" s="349"/>
      <c r="AD16" s="349"/>
      <c r="AE16" s="350"/>
    </row>
    <row r="17" spans="2:31" ht="20" customHeight="1">
      <c r="B17" s="142"/>
      <c r="C17" s="143"/>
      <c r="D17" s="143"/>
      <c r="E17" s="143"/>
      <c r="F17" s="144"/>
      <c r="G17" s="391"/>
      <c r="H17" s="392"/>
      <c r="I17" s="392"/>
      <c r="J17" s="392"/>
      <c r="K17" s="392"/>
      <c r="L17" s="392"/>
      <c r="M17" s="392"/>
      <c r="N17" s="392"/>
      <c r="O17" s="392"/>
      <c r="P17" s="392"/>
      <c r="Q17" s="392"/>
      <c r="R17" s="392"/>
      <c r="S17" s="392"/>
      <c r="T17" s="392"/>
      <c r="U17" s="392"/>
      <c r="V17" s="392"/>
      <c r="W17" s="392"/>
      <c r="X17" s="392"/>
      <c r="Y17" s="392"/>
      <c r="Z17" s="392"/>
      <c r="AA17" s="392"/>
      <c r="AB17" s="392"/>
      <c r="AC17" s="392"/>
      <c r="AD17" s="392"/>
      <c r="AE17" s="393"/>
    </row>
    <row r="18" spans="2:31" ht="20" customHeight="1">
      <c r="B18" s="142"/>
      <c r="C18" s="143"/>
      <c r="D18" s="143"/>
      <c r="E18" s="143"/>
      <c r="F18" s="144"/>
      <c r="G18" s="168" t="s">
        <v>60</v>
      </c>
      <c r="H18" s="168"/>
      <c r="I18" s="168"/>
      <c r="J18" s="168"/>
      <c r="K18" s="168"/>
      <c r="L18" s="168"/>
      <c r="M18" s="168"/>
      <c r="N18" s="168"/>
      <c r="O18" s="168"/>
      <c r="P18" s="168"/>
      <c r="Q18" s="168"/>
      <c r="R18" s="168"/>
      <c r="S18" s="168" t="s">
        <v>61</v>
      </c>
      <c r="T18" s="168"/>
      <c r="U18" s="168"/>
      <c r="V18" s="168"/>
      <c r="W18" s="168"/>
      <c r="X18" s="168"/>
      <c r="Y18" s="168"/>
      <c r="Z18" s="168"/>
      <c r="AA18" s="168"/>
      <c r="AB18" s="168"/>
      <c r="AC18" s="168"/>
      <c r="AD18" s="168"/>
      <c r="AE18" s="240"/>
    </row>
    <row r="19" spans="2:31" ht="20" customHeight="1">
      <c r="B19" s="142"/>
      <c r="C19" s="143"/>
      <c r="D19" s="143"/>
      <c r="E19" s="143"/>
      <c r="F19" s="144"/>
      <c r="G19" s="175" t="s">
        <v>64</v>
      </c>
      <c r="H19" s="278"/>
      <c r="I19" s="278"/>
      <c r="J19" s="278"/>
      <c r="K19" s="176"/>
      <c r="L19" s="175" t="s">
        <v>58</v>
      </c>
      <c r="M19" s="278"/>
      <c r="N19" s="176"/>
      <c r="O19" s="175" t="s">
        <v>59</v>
      </c>
      <c r="P19" s="278"/>
      <c r="Q19" s="278"/>
      <c r="R19" s="176"/>
      <c r="S19" s="175" t="s">
        <v>64</v>
      </c>
      <c r="T19" s="278"/>
      <c r="U19" s="278"/>
      <c r="V19" s="278"/>
      <c r="W19" s="176"/>
      <c r="X19" s="175" t="s">
        <v>58</v>
      </c>
      <c r="Y19" s="278"/>
      <c r="Z19" s="278"/>
      <c r="AA19" s="176"/>
      <c r="AB19" s="175" t="s">
        <v>59</v>
      </c>
      <c r="AC19" s="278"/>
      <c r="AD19" s="278"/>
      <c r="AE19" s="315"/>
    </row>
    <row r="20" spans="2:31" ht="20" customHeight="1">
      <c r="B20" s="142"/>
      <c r="C20" s="143"/>
      <c r="D20" s="143"/>
      <c r="E20" s="143"/>
      <c r="F20" s="144"/>
      <c r="G20" s="198" t="s">
        <v>20</v>
      </c>
      <c r="H20" s="198"/>
      <c r="I20" s="198"/>
      <c r="J20" s="198"/>
      <c r="K20" s="198"/>
      <c r="L20" s="331">
        <f>プロジェクト管理表!T24</f>
        <v>180000</v>
      </c>
      <c r="M20" s="332"/>
      <c r="N20" s="333"/>
      <c r="O20" s="331">
        <f>プロジェクト管理表!T25</f>
        <v>0</v>
      </c>
      <c r="P20" s="332"/>
      <c r="Q20" s="332"/>
      <c r="R20" s="333"/>
      <c r="S20" s="198" t="s">
        <v>45</v>
      </c>
      <c r="T20" s="198"/>
      <c r="U20" s="198"/>
      <c r="V20" s="198"/>
      <c r="W20" s="198"/>
      <c r="X20" s="376">
        <f>プロジェクト計画書!X19</f>
        <v>44287</v>
      </c>
      <c r="Y20" s="377"/>
      <c r="Z20" s="377"/>
      <c r="AA20" s="378"/>
      <c r="AB20" s="316"/>
      <c r="AC20" s="317"/>
      <c r="AD20" s="317"/>
      <c r="AE20" s="318"/>
    </row>
    <row r="21" spans="2:31" ht="20" customHeight="1">
      <c r="B21" s="142"/>
      <c r="C21" s="143"/>
      <c r="D21" s="143"/>
      <c r="E21" s="143"/>
      <c r="F21" s="144"/>
      <c r="G21" s="198" t="s">
        <v>21</v>
      </c>
      <c r="H21" s="198"/>
      <c r="I21" s="198"/>
      <c r="J21" s="198"/>
      <c r="K21" s="198"/>
      <c r="L21" s="331">
        <f>プロジェクト管理表!T26</f>
        <v>0</v>
      </c>
      <c r="M21" s="332"/>
      <c r="N21" s="333"/>
      <c r="O21" s="331">
        <f>プロジェクト管理表!T27</f>
        <v>0</v>
      </c>
      <c r="P21" s="332"/>
      <c r="Q21" s="332"/>
      <c r="R21" s="333"/>
      <c r="S21" s="198" t="s">
        <v>46</v>
      </c>
      <c r="T21" s="198"/>
      <c r="U21" s="198"/>
      <c r="V21" s="198"/>
      <c r="W21" s="198"/>
      <c r="X21" s="376">
        <f>プロジェクト計画書!X20</f>
        <v>44530</v>
      </c>
      <c r="Y21" s="377"/>
      <c r="Z21" s="377"/>
      <c r="AA21" s="378"/>
      <c r="AB21" s="316"/>
      <c r="AC21" s="317"/>
      <c r="AD21" s="317"/>
      <c r="AE21" s="318"/>
    </row>
    <row r="22" spans="2:31" ht="20" customHeight="1">
      <c r="B22" s="142"/>
      <c r="C22" s="143"/>
      <c r="D22" s="143"/>
      <c r="E22" s="143"/>
      <c r="F22" s="144"/>
      <c r="G22" s="198" t="s">
        <v>43</v>
      </c>
      <c r="H22" s="198"/>
      <c r="I22" s="198"/>
      <c r="J22" s="198"/>
      <c r="K22" s="198"/>
      <c r="L22" s="331">
        <f>プロジェクト管理表!T28</f>
        <v>180000</v>
      </c>
      <c r="M22" s="332"/>
      <c r="N22" s="333"/>
      <c r="O22" s="331">
        <f>プロジェクト管理表!T29</f>
        <v>0</v>
      </c>
      <c r="P22" s="332"/>
      <c r="Q22" s="332"/>
      <c r="R22" s="333"/>
      <c r="S22" s="198" t="s">
        <v>47</v>
      </c>
      <c r="T22" s="198"/>
      <c r="U22" s="198"/>
      <c r="V22" s="198"/>
      <c r="W22" s="198"/>
      <c r="X22" s="319">
        <f>プロジェクト計画書!X21</f>
        <v>8</v>
      </c>
      <c r="Y22" s="320"/>
      <c r="Z22" s="320"/>
      <c r="AA22" s="321"/>
      <c r="AB22" s="325"/>
      <c r="AC22" s="326"/>
      <c r="AD22" s="326"/>
      <c r="AE22" s="327"/>
    </row>
    <row r="23" spans="2:31" ht="20" customHeight="1">
      <c r="B23" s="142"/>
      <c r="C23" s="143"/>
      <c r="D23" s="143"/>
      <c r="E23" s="143"/>
      <c r="F23" s="144"/>
      <c r="G23" s="198" t="s">
        <v>44</v>
      </c>
      <c r="H23" s="198"/>
      <c r="I23" s="198"/>
      <c r="J23" s="198"/>
      <c r="K23" s="198"/>
      <c r="L23" s="334">
        <f>プロジェクト管理表!T30</f>
        <v>1</v>
      </c>
      <c r="M23" s="335"/>
      <c r="N23" s="336"/>
      <c r="O23" s="334" t="e">
        <f>プロジェクト管理表!T31</f>
        <v>#DIV/0!</v>
      </c>
      <c r="P23" s="335"/>
      <c r="Q23" s="335"/>
      <c r="R23" s="336"/>
      <c r="S23" s="198"/>
      <c r="T23" s="198"/>
      <c r="U23" s="198"/>
      <c r="V23" s="198"/>
      <c r="W23" s="198"/>
      <c r="X23" s="322"/>
      <c r="Y23" s="323"/>
      <c r="Z23" s="323"/>
      <c r="AA23" s="324"/>
      <c r="AB23" s="328"/>
      <c r="AC23" s="329"/>
      <c r="AD23" s="329"/>
      <c r="AE23" s="330"/>
    </row>
    <row r="24" spans="2:31" ht="20" customHeight="1">
      <c r="B24" s="142"/>
      <c r="C24" s="143"/>
      <c r="D24" s="143"/>
      <c r="E24" s="143"/>
      <c r="F24" s="144"/>
      <c r="G24" s="241" t="s">
        <v>94</v>
      </c>
      <c r="H24" s="242"/>
      <c r="I24" s="242"/>
      <c r="J24" s="242"/>
      <c r="K24" s="242"/>
      <c r="L24" s="242"/>
      <c r="M24" s="242"/>
      <c r="N24" s="242"/>
      <c r="O24" s="242"/>
      <c r="P24" s="242"/>
      <c r="Q24" s="242"/>
      <c r="R24" s="375"/>
      <c r="S24" s="168" t="s">
        <v>95</v>
      </c>
      <c r="T24" s="168"/>
      <c r="U24" s="168"/>
      <c r="V24" s="168"/>
      <c r="W24" s="168"/>
      <c r="X24" s="168"/>
      <c r="Y24" s="168"/>
      <c r="Z24" s="168"/>
      <c r="AA24" s="168"/>
      <c r="AB24" s="168"/>
      <c r="AC24" s="168"/>
      <c r="AD24" s="168"/>
      <c r="AE24" s="240"/>
    </row>
    <row r="25" spans="2:31" ht="20" customHeight="1">
      <c r="B25" s="142"/>
      <c r="C25" s="143"/>
      <c r="D25" s="143"/>
      <c r="E25" s="143"/>
      <c r="F25" s="144"/>
      <c r="G25" s="354"/>
      <c r="H25" s="190"/>
      <c r="I25" s="190"/>
      <c r="J25" s="190"/>
      <c r="K25" s="190"/>
      <c r="L25" s="190"/>
      <c r="M25" s="190"/>
      <c r="N25" s="190"/>
      <c r="O25" s="190"/>
      <c r="P25" s="190"/>
      <c r="Q25" s="190"/>
      <c r="R25" s="355"/>
      <c r="S25" s="373"/>
      <c r="T25" s="373"/>
      <c r="U25" s="373"/>
      <c r="V25" s="373"/>
      <c r="W25" s="373"/>
      <c r="X25" s="373"/>
      <c r="Y25" s="373"/>
      <c r="Z25" s="373"/>
      <c r="AA25" s="373"/>
      <c r="AB25" s="373"/>
      <c r="AC25" s="373"/>
      <c r="AD25" s="373"/>
      <c r="AE25" s="374"/>
    </row>
    <row r="26" spans="2:31" ht="20" customHeight="1">
      <c r="B26" s="142"/>
      <c r="C26" s="143"/>
      <c r="D26" s="143"/>
      <c r="E26" s="143"/>
      <c r="F26" s="144"/>
      <c r="G26" s="192"/>
      <c r="H26" s="193"/>
      <c r="I26" s="193"/>
      <c r="J26" s="193"/>
      <c r="K26" s="193"/>
      <c r="L26" s="193"/>
      <c r="M26" s="193"/>
      <c r="N26" s="193"/>
      <c r="O26" s="193"/>
      <c r="P26" s="193"/>
      <c r="Q26" s="193"/>
      <c r="R26" s="356"/>
      <c r="S26" s="373"/>
      <c r="T26" s="373"/>
      <c r="U26" s="373"/>
      <c r="V26" s="373"/>
      <c r="W26" s="373"/>
      <c r="X26" s="373"/>
      <c r="Y26" s="373"/>
      <c r="Z26" s="373"/>
      <c r="AA26" s="373"/>
      <c r="AB26" s="373"/>
      <c r="AC26" s="373"/>
      <c r="AD26" s="373"/>
      <c r="AE26" s="374"/>
    </row>
    <row r="27" spans="2:31" ht="20" customHeight="1">
      <c r="B27" s="142"/>
      <c r="C27" s="143"/>
      <c r="D27" s="143"/>
      <c r="E27" s="143"/>
      <c r="F27" s="144"/>
      <c r="G27" s="192"/>
      <c r="H27" s="193"/>
      <c r="I27" s="193"/>
      <c r="J27" s="193"/>
      <c r="K27" s="193"/>
      <c r="L27" s="193"/>
      <c r="M27" s="193"/>
      <c r="N27" s="193"/>
      <c r="O27" s="193"/>
      <c r="P27" s="193"/>
      <c r="Q27" s="193"/>
      <c r="R27" s="356"/>
      <c r="S27" s="373"/>
      <c r="T27" s="373"/>
      <c r="U27" s="373"/>
      <c r="V27" s="373"/>
      <c r="W27" s="373"/>
      <c r="X27" s="373"/>
      <c r="Y27" s="373"/>
      <c r="Z27" s="373"/>
      <c r="AA27" s="373"/>
      <c r="AB27" s="373"/>
      <c r="AC27" s="373"/>
      <c r="AD27" s="373"/>
      <c r="AE27" s="374"/>
    </row>
    <row r="28" spans="2:31" ht="20" customHeight="1">
      <c r="B28" s="142"/>
      <c r="C28" s="143"/>
      <c r="D28" s="143"/>
      <c r="E28" s="143"/>
      <c r="F28" s="144"/>
      <c r="G28" s="192"/>
      <c r="H28" s="193"/>
      <c r="I28" s="193"/>
      <c r="J28" s="193"/>
      <c r="K28" s="193"/>
      <c r="L28" s="193"/>
      <c r="M28" s="193"/>
      <c r="N28" s="193"/>
      <c r="O28" s="193"/>
      <c r="P28" s="193"/>
      <c r="Q28" s="193"/>
      <c r="R28" s="356"/>
      <c r="S28" s="373"/>
      <c r="T28" s="373"/>
      <c r="U28" s="373"/>
      <c r="V28" s="373"/>
      <c r="W28" s="373"/>
      <c r="X28" s="373"/>
      <c r="Y28" s="373"/>
      <c r="Z28" s="373"/>
      <c r="AA28" s="373"/>
      <c r="AB28" s="373"/>
      <c r="AC28" s="373"/>
      <c r="AD28" s="373"/>
      <c r="AE28" s="374"/>
    </row>
    <row r="29" spans="2:31" ht="20" customHeight="1">
      <c r="B29" s="145"/>
      <c r="C29" s="146"/>
      <c r="D29" s="146"/>
      <c r="E29" s="146"/>
      <c r="F29" s="147"/>
      <c r="G29" s="195"/>
      <c r="H29" s="196"/>
      <c r="I29" s="196"/>
      <c r="J29" s="196"/>
      <c r="K29" s="196"/>
      <c r="L29" s="196"/>
      <c r="M29" s="196"/>
      <c r="N29" s="196"/>
      <c r="O29" s="196"/>
      <c r="P29" s="196"/>
      <c r="Q29" s="196"/>
      <c r="R29" s="357"/>
      <c r="S29" s="373"/>
      <c r="T29" s="373"/>
      <c r="U29" s="373"/>
      <c r="V29" s="373"/>
      <c r="W29" s="373"/>
      <c r="X29" s="373"/>
      <c r="Y29" s="373"/>
      <c r="Z29" s="373"/>
      <c r="AA29" s="373"/>
      <c r="AB29" s="373"/>
      <c r="AC29" s="373"/>
      <c r="AD29" s="373"/>
      <c r="AE29" s="374"/>
    </row>
    <row r="30" spans="2:31" ht="20" customHeight="1">
      <c r="B30" s="139"/>
      <c r="C30" s="140"/>
      <c r="D30" s="140"/>
      <c r="E30" s="140"/>
      <c r="F30" s="141"/>
      <c r="G30" s="241" t="s">
        <v>62</v>
      </c>
      <c r="H30" s="242"/>
      <c r="I30" s="242"/>
      <c r="J30" s="242"/>
      <c r="K30" s="242"/>
      <c r="L30" s="242"/>
      <c r="M30" s="242"/>
      <c r="N30" s="242"/>
      <c r="O30" s="242"/>
      <c r="P30" s="242"/>
      <c r="Q30" s="242"/>
      <c r="R30" s="242"/>
      <c r="S30" s="242"/>
      <c r="T30" s="242"/>
      <c r="U30" s="242"/>
      <c r="V30" s="242"/>
      <c r="W30" s="242"/>
      <c r="X30" s="242"/>
      <c r="Y30" s="242"/>
      <c r="Z30" s="242"/>
      <c r="AA30" s="242"/>
      <c r="AB30" s="242"/>
      <c r="AC30" s="242"/>
      <c r="AD30" s="242"/>
      <c r="AE30" s="243"/>
    </row>
    <row r="31" spans="2:31" ht="20" customHeight="1">
      <c r="B31" s="142"/>
      <c r="C31" s="143"/>
      <c r="D31" s="143"/>
      <c r="E31" s="143"/>
      <c r="F31" s="144"/>
      <c r="G31" s="403"/>
      <c r="H31" s="404"/>
      <c r="I31" s="404"/>
      <c r="J31" s="404"/>
      <c r="K31" s="404"/>
      <c r="L31" s="404"/>
      <c r="M31" s="404"/>
      <c r="N31" s="404"/>
      <c r="O31" s="404"/>
      <c r="P31" s="404"/>
      <c r="Q31" s="404"/>
      <c r="R31" s="404"/>
      <c r="S31" s="404"/>
      <c r="T31" s="404"/>
      <c r="U31" s="404"/>
      <c r="V31" s="404"/>
      <c r="W31" s="404"/>
      <c r="X31" s="404"/>
      <c r="Y31" s="404"/>
      <c r="Z31" s="404"/>
      <c r="AA31" s="404"/>
      <c r="AB31" s="404"/>
      <c r="AC31" s="404"/>
      <c r="AD31" s="404"/>
      <c r="AE31" s="405"/>
    </row>
    <row r="32" spans="2:31" ht="20" customHeight="1">
      <c r="B32" s="142"/>
      <c r="C32" s="143"/>
      <c r="D32" s="143"/>
      <c r="E32" s="143"/>
      <c r="F32" s="144"/>
      <c r="G32" s="406"/>
      <c r="H32" s="407"/>
      <c r="I32" s="407"/>
      <c r="J32" s="407"/>
      <c r="K32" s="407"/>
      <c r="L32" s="407"/>
      <c r="M32" s="407"/>
      <c r="N32" s="407"/>
      <c r="O32" s="407"/>
      <c r="P32" s="407"/>
      <c r="Q32" s="407"/>
      <c r="R32" s="407"/>
      <c r="S32" s="407"/>
      <c r="T32" s="407"/>
      <c r="U32" s="407"/>
      <c r="V32" s="407"/>
      <c r="W32" s="407"/>
      <c r="X32" s="407"/>
      <c r="Y32" s="407"/>
      <c r="Z32" s="407"/>
      <c r="AA32" s="407"/>
      <c r="AB32" s="407"/>
      <c r="AC32" s="407"/>
      <c r="AD32" s="407"/>
      <c r="AE32" s="408"/>
    </row>
    <row r="33" spans="2:31" ht="20" customHeight="1">
      <c r="B33" s="142"/>
      <c r="C33" s="143"/>
      <c r="D33" s="143"/>
      <c r="E33" s="143"/>
      <c r="F33" s="144"/>
      <c r="G33" s="409"/>
      <c r="H33" s="410"/>
      <c r="I33" s="410"/>
      <c r="J33" s="410"/>
      <c r="K33" s="410"/>
      <c r="L33" s="410"/>
      <c r="M33" s="410"/>
      <c r="N33" s="410"/>
      <c r="O33" s="410"/>
      <c r="P33" s="410"/>
      <c r="Q33" s="410"/>
      <c r="R33" s="410"/>
      <c r="S33" s="410"/>
      <c r="T33" s="410"/>
      <c r="U33" s="410"/>
      <c r="V33" s="410"/>
      <c r="W33" s="410"/>
      <c r="X33" s="410"/>
      <c r="Y33" s="410"/>
      <c r="Z33" s="410"/>
      <c r="AA33" s="410"/>
      <c r="AB33" s="410"/>
      <c r="AC33" s="410"/>
      <c r="AD33" s="410"/>
      <c r="AE33" s="411"/>
    </row>
    <row r="34" spans="2:31" ht="20" customHeight="1">
      <c r="B34" s="142"/>
      <c r="C34" s="143"/>
      <c r="D34" s="143"/>
      <c r="E34" s="143"/>
      <c r="F34" s="144"/>
      <c r="G34" s="241" t="s">
        <v>63</v>
      </c>
      <c r="H34" s="242"/>
      <c r="I34" s="242"/>
      <c r="J34" s="242"/>
      <c r="K34" s="242"/>
      <c r="L34" s="242"/>
      <c r="M34" s="242"/>
      <c r="N34" s="242"/>
      <c r="O34" s="242"/>
      <c r="P34" s="242"/>
      <c r="Q34" s="242"/>
      <c r="R34" s="242"/>
      <c r="S34" s="242"/>
      <c r="T34" s="242"/>
      <c r="U34" s="242"/>
      <c r="V34" s="242"/>
      <c r="W34" s="242"/>
      <c r="X34" s="242"/>
      <c r="Y34" s="242"/>
      <c r="Z34" s="242"/>
      <c r="AA34" s="242"/>
      <c r="AB34" s="242"/>
      <c r="AC34" s="242"/>
      <c r="AD34" s="242"/>
      <c r="AE34" s="243"/>
    </row>
    <row r="35" spans="2:31" ht="20" customHeight="1">
      <c r="B35" s="142"/>
      <c r="C35" s="143"/>
      <c r="D35" s="143"/>
      <c r="E35" s="143"/>
      <c r="F35" s="144"/>
      <c r="G35" s="345"/>
      <c r="H35" s="346"/>
      <c r="I35" s="346"/>
      <c r="J35" s="346"/>
      <c r="K35" s="346"/>
      <c r="L35" s="346"/>
      <c r="M35" s="346"/>
      <c r="N35" s="346"/>
      <c r="O35" s="346"/>
      <c r="P35" s="346"/>
      <c r="Q35" s="346"/>
      <c r="R35" s="346"/>
      <c r="S35" s="346"/>
      <c r="T35" s="346"/>
      <c r="U35" s="346"/>
      <c r="V35" s="346"/>
      <c r="W35" s="346"/>
      <c r="X35" s="346"/>
      <c r="Y35" s="346"/>
      <c r="Z35" s="346"/>
      <c r="AA35" s="346"/>
      <c r="AB35" s="346"/>
      <c r="AC35" s="346"/>
      <c r="AD35" s="346"/>
      <c r="AE35" s="347"/>
    </row>
    <row r="36" spans="2:31" ht="20" customHeight="1">
      <c r="B36" s="142"/>
      <c r="C36" s="143"/>
      <c r="D36" s="143"/>
      <c r="E36" s="143"/>
      <c r="F36" s="144"/>
      <c r="G36" s="348"/>
      <c r="H36" s="349"/>
      <c r="I36" s="349"/>
      <c r="J36" s="349"/>
      <c r="K36" s="349"/>
      <c r="L36" s="349"/>
      <c r="M36" s="349"/>
      <c r="N36" s="349"/>
      <c r="O36" s="349"/>
      <c r="P36" s="349"/>
      <c r="Q36" s="349"/>
      <c r="R36" s="349"/>
      <c r="S36" s="349"/>
      <c r="T36" s="349"/>
      <c r="U36" s="349"/>
      <c r="V36" s="349"/>
      <c r="W36" s="349"/>
      <c r="X36" s="349"/>
      <c r="Y36" s="349"/>
      <c r="Z36" s="349"/>
      <c r="AA36" s="349"/>
      <c r="AB36" s="349"/>
      <c r="AC36" s="349"/>
      <c r="AD36" s="349"/>
      <c r="AE36" s="350"/>
    </row>
    <row r="37" spans="2:31" ht="20" customHeight="1">
      <c r="B37" s="145"/>
      <c r="C37" s="146"/>
      <c r="D37" s="146"/>
      <c r="E37" s="146"/>
      <c r="F37" s="147"/>
      <c r="G37" s="391"/>
      <c r="H37" s="392"/>
      <c r="I37" s="392"/>
      <c r="J37" s="392"/>
      <c r="K37" s="392"/>
      <c r="L37" s="392"/>
      <c r="M37" s="392"/>
      <c r="N37" s="392"/>
      <c r="O37" s="392"/>
      <c r="P37" s="392"/>
      <c r="Q37" s="392"/>
      <c r="R37" s="392"/>
      <c r="S37" s="392"/>
      <c r="T37" s="392"/>
      <c r="U37" s="392"/>
      <c r="V37" s="392"/>
      <c r="W37" s="392"/>
      <c r="X37" s="392"/>
      <c r="Y37" s="392"/>
      <c r="Z37" s="392"/>
      <c r="AA37" s="392"/>
      <c r="AB37" s="392"/>
      <c r="AC37" s="392"/>
      <c r="AD37" s="392"/>
      <c r="AE37" s="393"/>
    </row>
    <row r="38" spans="2:31" ht="20" customHeight="1">
      <c r="B38" s="139"/>
      <c r="C38" s="140"/>
      <c r="D38" s="140"/>
      <c r="E38" s="140"/>
      <c r="F38" s="141"/>
      <c r="G38" s="168" t="s">
        <v>52</v>
      </c>
      <c r="H38" s="168"/>
      <c r="I38" s="168"/>
      <c r="J38" s="168"/>
      <c r="K38" s="168"/>
      <c r="L38" s="168"/>
      <c r="M38" s="168"/>
      <c r="N38" s="168"/>
      <c r="O38" s="168"/>
      <c r="P38" s="168"/>
      <c r="Q38" s="168"/>
      <c r="R38" s="168"/>
      <c r="S38" s="241" t="s">
        <v>96</v>
      </c>
      <c r="T38" s="242"/>
      <c r="U38" s="242"/>
      <c r="V38" s="242"/>
      <c r="W38" s="242"/>
      <c r="X38" s="242"/>
      <c r="Y38" s="242"/>
      <c r="Z38" s="242"/>
      <c r="AA38" s="242"/>
      <c r="AB38" s="242"/>
      <c r="AC38" s="242"/>
      <c r="AD38" s="242"/>
      <c r="AE38" s="243"/>
    </row>
    <row r="39" spans="2:31" ht="20" customHeight="1">
      <c r="B39" s="142"/>
      <c r="C39" s="143"/>
      <c r="D39" s="143"/>
      <c r="E39" s="143"/>
      <c r="F39" s="144"/>
      <c r="G39" s="364" t="s">
        <v>53</v>
      </c>
      <c r="H39" s="365"/>
      <c r="I39" s="366"/>
      <c r="J39" s="364" t="s">
        <v>25</v>
      </c>
      <c r="K39" s="365"/>
      <c r="L39" s="366"/>
      <c r="M39" s="364" t="s">
        <v>26</v>
      </c>
      <c r="N39" s="366"/>
      <c r="O39" s="175" t="s">
        <v>66</v>
      </c>
      <c r="P39" s="278"/>
      <c r="Q39" s="278"/>
      <c r="R39" s="176"/>
      <c r="S39" s="345"/>
      <c r="T39" s="346"/>
      <c r="U39" s="346"/>
      <c r="V39" s="346"/>
      <c r="W39" s="346"/>
      <c r="X39" s="346"/>
      <c r="Y39" s="346"/>
      <c r="Z39" s="346"/>
      <c r="AA39" s="346"/>
      <c r="AB39" s="346"/>
      <c r="AC39" s="346"/>
      <c r="AD39" s="346"/>
      <c r="AE39" s="347"/>
    </row>
    <row r="40" spans="2:31" ht="20" customHeight="1">
      <c r="B40" s="142"/>
      <c r="C40" s="143"/>
      <c r="D40" s="143"/>
      <c r="E40" s="143"/>
      <c r="F40" s="144"/>
      <c r="G40" s="367"/>
      <c r="H40" s="368"/>
      <c r="I40" s="369"/>
      <c r="J40" s="367"/>
      <c r="K40" s="368"/>
      <c r="L40" s="369"/>
      <c r="M40" s="367"/>
      <c r="N40" s="369"/>
      <c r="O40" s="174" t="s">
        <v>65</v>
      </c>
      <c r="P40" s="174"/>
      <c r="Q40" s="174" t="s">
        <v>59</v>
      </c>
      <c r="R40" s="174"/>
      <c r="S40" s="348"/>
      <c r="T40" s="349"/>
      <c r="U40" s="349"/>
      <c r="V40" s="349"/>
      <c r="W40" s="349"/>
      <c r="X40" s="349"/>
      <c r="Y40" s="349"/>
      <c r="Z40" s="349"/>
      <c r="AA40" s="349"/>
      <c r="AB40" s="349"/>
      <c r="AC40" s="349"/>
      <c r="AD40" s="349"/>
      <c r="AE40" s="350"/>
    </row>
    <row r="41" spans="2:31" ht="20" customHeight="1">
      <c r="B41" s="142"/>
      <c r="C41" s="143"/>
      <c r="D41" s="143"/>
      <c r="E41" s="143"/>
      <c r="F41" s="144"/>
      <c r="G41" s="174" t="str">
        <f>プロジェクト管理表!C32</f>
        <v>PPM</v>
      </c>
      <c r="H41" s="174"/>
      <c r="I41" s="174"/>
      <c r="J41" s="255" t="str">
        <f>プロジェクト計画書!J33</f>
        <v>周娴</v>
      </c>
      <c r="K41" s="255"/>
      <c r="L41" s="255"/>
      <c r="M41" s="169" t="str">
        <f>プロジェクト計画書!M33</f>
        <v>-</v>
      </c>
      <c r="N41" s="170"/>
      <c r="O41" s="314">
        <f>プロジェクト計画書!O33</f>
        <v>26</v>
      </c>
      <c r="P41" s="314"/>
      <c r="Q41" s="314">
        <f>プロジェクト管理表!T33</f>
        <v>0</v>
      </c>
      <c r="R41" s="314"/>
      <c r="S41" s="348"/>
      <c r="T41" s="349"/>
      <c r="U41" s="349"/>
      <c r="V41" s="349"/>
      <c r="W41" s="349"/>
      <c r="X41" s="349"/>
      <c r="Y41" s="349"/>
      <c r="Z41" s="349"/>
      <c r="AA41" s="349"/>
      <c r="AB41" s="349"/>
      <c r="AC41" s="349"/>
      <c r="AD41" s="349"/>
      <c r="AE41" s="350"/>
    </row>
    <row r="42" spans="2:31" ht="20" customHeight="1">
      <c r="B42" s="142"/>
      <c r="C42" s="143"/>
      <c r="D42" s="143"/>
      <c r="E42" s="143"/>
      <c r="F42" s="144"/>
      <c r="G42" s="174" t="str">
        <f>プロジェクト管理表!C34</f>
        <v>PMO</v>
      </c>
      <c r="H42" s="174"/>
      <c r="I42" s="174"/>
      <c r="J42" s="255">
        <f>プロジェクト計画書!J34</f>
        <v>0</v>
      </c>
      <c r="K42" s="255"/>
      <c r="L42" s="255"/>
      <c r="M42" s="169" t="str">
        <f>プロジェクト計画書!M34</f>
        <v>-</v>
      </c>
      <c r="N42" s="170"/>
      <c r="O42" s="314">
        <f>プロジェクト計画書!O34</f>
        <v>0</v>
      </c>
      <c r="P42" s="314"/>
      <c r="Q42" s="314">
        <f>プロジェクト管理表!T35</f>
        <v>0</v>
      </c>
      <c r="R42" s="314"/>
      <c r="S42" s="348"/>
      <c r="T42" s="349"/>
      <c r="U42" s="349"/>
      <c r="V42" s="349"/>
      <c r="W42" s="349"/>
      <c r="X42" s="349"/>
      <c r="Y42" s="349"/>
      <c r="Z42" s="349"/>
      <c r="AA42" s="349"/>
      <c r="AB42" s="349"/>
      <c r="AC42" s="349"/>
      <c r="AD42" s="349"/>
      <c r="AE42" s="350"/>
    </row>
    <row r="43" spans="2:31" ht="20" customHeight="1">
      <c r="B43" s="142"/>
      <c r="C43" s="143"/>
      <c r="D43" s="143"/>
      <c r="E43" s="143"/>
      <c r="F43" s="144"/>
      <c r="G43" s="174" t="str">
        <f>プロジェクト管理表!C36</f>
        <v>PD</v>
      </c>
      <c r="H43" s="174"/>
      <c r="I43" s="174"/>
      <c r="J43" s="255" t="str">
        <f>プロジェクト計画書!J35</f>
        <v>山崎</v>
      </c>
      <c r="K43" s="255"/>
      <c r="L43" s="255"/>
      <c r="M43" s="169" t="str">
        <f>プロジェクト計画書!M35</f>
        <v>-</v>
      </c>
      <c r="N43" s="170"/>
      <c r="O43" s="314">
        <f>プロジェクト計画書!O35</f>
        <v>0</v>
      </c>
      <c r="P43" s="314"/>
      <c r="Q43" s="314">
        <f>プロジェクト管理表!T37</f>
        <v>0</v>
      </c>
      <c r="R43" s="314"/>
      <c r="S43" s="348"/>
      <c r="T43" s="349"/>
      <c r="U43" s="349"/>
      <c r="V43" s="349"/>
      <c r="W43" s="349"/>
      <c r="X43" s="349"/>
      <c r="Y43" s="349"/>
      <c r="Z43" s="349"/>
      <c r="AA43" s="349"/>
      <c r="AB43" s="349"/>
      <c r="AC43" s="349"/>
      <c r="AD43" s="349"/>
      <c r="AE43" s="350"/>
    </row>
    <row r="44" spans="2:31" ht="20" customHeight="1">
      <c r="B44" s="142"/>
      <c r="C44" s="143"/>
      <c r="D44" s="143"/>
      <c r="E44" s="143"/>
      <c r="F44" s="144"/>
      <c r="G44" s="174" t="str">
        <f>プロジェクト管理表!C38</f>
        <v>PM</v>
      </c>
      <c r="H44" s="174"/>
      <c r="I44" s="174"/>
      <c r="J44" s="255" t="str">
        <f>プロジェクト計画書!J36</f>
        <v>沈庆元</v>
      </c>
      <c r="K44" s="255"/>
      <c r="L44" s="255"/>
      <c r="M44" s="169" t="str">
        <f>プロジェクト計画書!M36</f>
        <v>-</v>
      </c>
      <c r="N44" s="170"/>
      <c r="O44" s="314">
        <f>プロジェクト計画書!O36</f>
        <v>96</v>
      </c>
      <c r="P44" s="314"/>
      <c r="Q44" s="314">
        <f>プロジェクト管理表!T39</f>
        <v>0</v>
      </c>
      <c r="R44" s="314"/>
      <c r="S44" s="348"/>
      <c r="T44" s="349"/>
      <c r="U44" s="349"/>
      <c r="V44" s="349"/>
      <c r="W44" s="349"/>
      <c r="X44" s="349"/>
      <c r="Y44" s="349"/>
      <c r="Z44" s="349"/>
      <c r="AA44" s="349"/>
      <c r="AB44" s="349"/>
      <c r="AC44" s="349"/>
      <c r="AD44" s="349"/>
      <c r="AE44" s="350"/>
    </row>
    <row r="45" spans="2:31" ht="20" customHeight="1">
      <c r="B45" s="142"/>
      <c r="C45" s="143"/>
      <c r="D45" s="143"/>
      <c r="E45" s="143"/>
      <c r="F45" s="144"/>
      <c r="G45" s="174" t="str">
        <f>プロジェクト管理表!C40</f>
        <v>CREW①</v>
      </c>
      <c r="H45" s="174"/>
      <c r="I45" s="174"/>
      <c r="J45" s="255" t="str">
        <f>プロジェクト計画書!J37</f>
        <v>王旭</v>
      </c>
      <c r="K45" s="255"/>
      <c r="L45" s="255"/>
      <c r="M45" s="169" t="str">
        <f>プロジェクト計画書!M37</f>
        <v>-</v>
      </c>
      <c r="N45" s="170"/>
      <c r="O45" s="314">
        <f>プロジェクト計画書!O37</f>
        <v>96</v>
      </c>
      <c r="P45" s="314"/>
      <c r="Q45" s="314">
        <f>プロジェクト管理表!T41</f>
        <v>0</v>
      </c>
      <c r="R45" s="314"/>
      <c r="S45" s="348"/>
      <c r="T45" s="349"/>
      <c r="U45" s="349"/>
      <c r="V45" s="349"/>
      <c r="W45" s="349"/>
      <c r="X45" s="349"/>
      <c r="Y45" s="349"/>
      <c r="Z45" s="349"/>
      <c r="AA45" s="349"/>
      <c r="AB45" s="349"/>
      <c r="AC45" s="349"/>
      <c r="AD45" s="349"/>
      <c r="AE45" s="350"/>
    </row>
    <row r="46" spans="2:31" ht="20" customHeight="1">
      <c r="B46" s="142"/>
      <c r="C46" s="143"/>
      <c r="D46" s="143"/>
      <c r="E46" s="143"/>
      <c r="F46" s="144"/>
      <c r="G46" s="174" t="str">
        <f>プロジェクト管理表!C42</f>
        <v>CREW②</v>
      </c>
      <c r="H46" s="174"/>
      <c r="I46" s="174"/>
      <c r="J46" s="255" t="str">
        <f>プロジェクト計画書!J38</f>
        <v>-</v>
      </c>
      <c r="K46" s="255"/>
      <c r="L46" s="255"/>
      <c r="M46" s="169" t="str">
        <f>プロジェクト計画書!M38</f>
        <v>-</v>
      </c>
      <c r="N46" s="170"/>
      <c r="O46" s="314">
        <f>プロジェクト計画書!O38</f>
        <v>0</v>
      </c>
      <c r="P46" s="314"/>
      <c r="Q46" s="314">
        <f>プロジェクト管理表!T43</f>
        <v>0</v>
      </c>
      <c r="R46" s="314"/>
      <c r="S46" s="348"/>
      <c r="T46" s="349"/>
      <c r="U46" s="349"/>
      <c r="V46" s="349"/>
      <c r="W46" s="349"/>
      <c r="X46" s="349"/>
      <c r="Y46" s="349"/>
      <c r="Z46" s="349"/>
      <c r="AA46" s="349"/>
      <c r="AB46" s="349"/>
      <c r="AC46" s="349"/>
      <c r="AD46" s="349"/>
      <c r="AE46" s="350"/>
    </row>
    <row r="47" spans="2:31" ht="20" customHeight="1">
      <c r="B47" s="142"/>
      <c r="C47" s="143"/>
      <c r="D47" s="143"/>
      <c r="E47" s="143"/>
      <c r="F47" s="144"/>
      <c r="G47" s="174" t="str">
        <f>プロジェクト管理表!C44</f>
        <v>CREW③</v>
      </c>
      <c r="H47" s="174"/>
      <c r="I47" s="174"/>
      <c r="J47" s="255" t="str">
        <f>プロジェクト計画書!J39</f>
        <v>-</v>
      </c>
      <c r="K47" s="255"/>
      <c r="L47" s="255"/>
      <c r="M47" s="169" t="str">
        <f>プロジェクト計画書!M39</f>
        <v>-</v>
      </c>
      <c r="N47" s="170"/>
      <c r="O47" s="314">
        <f>プロジェクト計画書!O39</f>
        <v>0</v>
      </c>
      <c r="P47" s="314"/>
      <c r="Q47" s="314">
        <f>プロジェクト管理表!T45</f>
        <v>0</v>
      </c>
      <c r="R47" s="314"/>
      <c r="S47" s="348"/>
      <c r="T47" s="349"/>
      <c r="U47" s="349"/>
      <c r="V47" s="349"/>
      <c r="W47" s="349"/>
      <c r="X47" s="349"/>
      <c r="Y47" s="349"/>
      <c r="Z47" s="349"/>
      <c r="AA47" s="349"/>
      <c r="AB47" s="349"/>
      <c r="AC47" s="349"/>
      <c r="AD47" s="349"/>
      <c r="AE47" s="350"/>
    </row>
    <row r="48" spans="2:31" ht="20" customHeight="1">
      <c r="B48" s="142"/>
      <c r="C48" s="143"/>
      <c r="D48" s="143"/>
      <c r="E48" s="143"/>
      <c r="F48" s="144"/>
      <c r="G48" s="174" t="str">
        <f>プロジェクト管理表!C46</f>
        <v>CREW④</v>
      </c>
      <c r="H48" s="174"/>
      <c r="I48" s="174"/>
      <c r="J48" s="255" t="str">
        <f>プロジェクト計画書!J40</f>
        <v>-</v>
      </c>
      <c r="K48" s="255"/>
      <c r="L48" s="255"/>
      <c r="M48" s="169" t="str">
        <f>プロジェクト計画書!M40</f>
        <v>-</v>
      </c>
      <c r="N48" s="170"/>
      <c r="O48" s="314">
        <f>プロジェクト計画書!O40</f>
        <v>0</v>
      </c>
      <c r="P48" s="314"/>
      <c r="Q48" s="314">
        <f>プロジェクト管理表!T47</f>
        <v>0</v>
      </c>
      <c r="R48" s="314"/>
      <c r="S48" s="348"/>
      <c r="T48" s="349"/>
      <c r="U48" s="349"/>
      <c r="V48" s="349"/>
      <c r="W48" s="349"/>
      <c r="X48" s="349"/>
      <c r="Y48" s="349"/>
      <c r="Z48" s="349"/>
      <c r="AA48" s="349"/>
      <c r="AB48" s="349"/>
      <c r="AC48" s="349"/>
      <c r="AD48" s="349"/>
      <c r="AE48" s="350"/>
    </row>
    <row r="49" spans="2:31" ht="20" customHeight="1">
      <c r="B49" s="142"/>
      <c r="C49" s="143"/>
      <c r="D49" s="143"/>
      <c r="E49" s="143"/>
      <c r="F49" s="144"/>
      <c r="G49" s="174" t="str">
        <f>プロジェクト管理表!C48</f>
        <v>CREW⑤</v>
      </c>
      <c r="H49" s="174"/>
      <c r="I49" s="174"/>
      <c r="J49" s="255" t="str">
        <f>プロジェクト計画書!J41</f>
        <v>-</v>
      </c>
      <c r="K49" s="255"/>
      <c r="L49" s="255"/>
      <c r="M49" s="169" t="str">
        <f>プロジェクト計画書!M41</f>
        <v>-</v>
      </c>
      <c r="N49" s="170"/>
      <c r="O49" s="314">
        <f>プロジェクト計画書!O41</f>
        <v>0</v>
      </c>
      <c r="P49" s="314"/>
      <c r="Q49" s="314">
        <f>プロジェクト管理表!T49</f>
        <v>0</v>
      </c>
      <c r="R49" s="314"/>
      <c r="S49" s="348"/>
      <c r="T49" s="349"/>
      <c r="U49" s="349"/>
      <c r="V49" s="349"/>
      <c r="W49" s="349"/>
      <c r="X49" s="349"/>
      <c r="Y49" s="349"/>
      <c r="Z49" s="349"/>
      <c r="AA49" s="349"/>
      <c r="AB49" s="349"/>
      <c r="AC49" s="349"/>
      <c r="AD49" s="349"/>
      <c r="AE49" s="350"/>
    </row>
    <row r="50" spans="2:31" ht="20" customHeight="1">
      <c r="B50" s="142"/>
      <c r="C50" s="143"/>
      <c r="D50" s="143"/>
      <c r="E50" s="143"/>
      <c r="F50" s="144"/>
      <c r="G50" s="174" t="str">
        <f>プロジェクト管理表!C50</f>
        <v>CREW⑥</v>
      </c>
      <c r="H50" s="174"/>
      <c r="I50" s="174"/>
      <c r="J50" s="255" t="str">
        <f>プロジェクト計画書!J42</f>
        <v>-</v>
      </c>
      <c r="K50" s="255"/>
      <c r="L50" s="255"/>
      <c r="M50" s="169" t="str">
        <f>プロジェクト計画書!M42</f>
        <v>-</v>
      </c>
      <c r="N50" s="170"/>
      <c r="O50" s="314">
        <f>プロジェクト計画書!O42</f>
        <v>0</v>
      </c>
      <c r="P50" s="314"/>
      <c r="Q50" s="314">
        <f>プロジェクト管理表!T51</f>
        <v>0</v>
      </c>
      <c r="R50" s="314"/>
      <c r="S50" s="348"/>
      <c r="T50" s="349"/>
      <c r="U50" s="349"/>
      <c r="V50" s="349"/>
      <c r="W50" s="349"/>
      <c r="X50" s="349"/>
      <c r="Y50" s="349"/>
      <c r="Z50" s="349"/>
      <c r="AA50" s="349"/>
      <c r="AB50" s="349"/>
      <c r="AC50" s="349"/>
      <c r="AD50" s="349"/>
      <c r="AE50" s="350"/>
    </row>
    <row r="51" spans="2:31" ht="20" customHeight="1">
      <c r="B51" s="142"/>
      <c r="C51" s="143"/>
      <c r="D51" s="143"/>
      <c r="E51" s="143"/>
      <c r="F51" s="144"/>
      <c r="G51" s="264" t="s">
        <v>55</v>
      </c>
      <c r="H51" s="265"/>
      <c r="I51" s="266"/>
      <c r="J51" s="370" t="s">
        <v>56</v>
      </c>
      <c r="K51" s="371"/>
      <c r="L51" s="371"/>
      <c r="M51" s="371"/>
      <c r="N51" s="371"/>
      <c r="O51" s="371"/>
      <c r="P51" s="371"/>
      <c r="Q51" s="371"/>
      <c r="R51" s="457"/>
      <c r="S51" s="391"/>
      <c r="T51" s="392"/>
      <c r="U51" s="392"/>
      <c r="V51" s="392"/>
      <c r="W51" s="392"/>
      <c r="X51" s="392"/>
      <c r="Y51" s="392"/>
      <c r="Z51" s="392"/>
      <c r="AA51" s="392"/>
      <c r="AB51" s="392"/>
      <c r="AC51" s="392"/>
      <c r="AD51" s="392"/>
      <c r="AE51" s="393"/>
    </row>
    <row r="52" spans="2:31" ht="20" customHeight="1">
      <c r="B52" s="142"/>
      <c r="C52" s="143"/>
      <c r="D52" s="143"/>
      <c r="E52" s="143"/>
      <c r="F52" s="144"/>
      <c r="G52" s="168" t="s">
        <v>67</v>
      </c>
      <c r="H52" s="168"/>
      <c r="I52" s="168"/>
      <c r="J52" s="168"/>
      <c r="K52" s="168"/>
      <c r="L52" s="168"/>
      <c r="M52" s="168"/>
      <c r="N52" s="168"/>
      <c r="O52" s="168"/>
      <c r="P52" s="168"/>
      <c r="Q52" s="168"/>
      <c r="R52" s="168"/>
      <c r="S52" s="168"/>
      <c r="T52" s="168"/>
      <c r="U52" s="168"/>
      <c r="V52" s="168"/>
      <c r="W52" s="168"/>
      <c r="X52" s="168"/>
      <c r="Y52" s="168"/>
      <c r="Z52" s="168"/>
      <c r="AA52" s="168"/>
      <c r="AB52" s="168"/>
      <c r="AC52" s="168"/>
      <c r="AD52" s="168"/>
      <c r="AE52" s="240"/>
    </row>
    <row r="53" spans="2:31" ht="20" customHeight="1">
      <c r="B53" s="142"/>
      <c r="C53" s="143"/>
      <c r="D53" s="143"/>
      <c r="E53" s="143"/>
      <c r="F53" s="144"/>
      <c r="G53" s="458"/>
      <c r="H53" s="458"/>
      <c r="I53" s="458"/>
      <c r="J53" s="458"/>
      <c r="K53" s="458"/>
      <c r="L53" s="458"/>
      <c r="M53" s="458"/>
      <c r="N53" s="458"/>
      <c r="O53" s="458"/>
      <c r="P53" s="458"/>
      <c r="Q53" s="458"/>
      <c r="R53" s="458"/>
      <c r="S53" s="458"/>
      <c r="T53" s="458"/>
      <c r="U53" s="458"/>
      <c r="V53" s="458"/>
      <c r="W53" s="458"/>
      <c r="X53" s="458"/>
      <c r="Y53" s="458"/>
      <c r="Z53" s="458"/>
      <c r="AA53" s="458"/>
      <c r="AB53" s="458"/>
      <c r="AC53" s="458"/>
      <c r="AD53" s="458"/>
      <c r="AE53" s="459"/>
    </row>
    <row r="54" spans="2:31" ht="20" customHeight="1">
      <c r="B54" s="142"/>
      <c r="C54" s="143"/>
      <c r="D54" s="143"/>
      <c r="E54" s="143"/>
      <c r="F54" s="144"/>
      <c r="G54" s="458"/>
      <c r="H54" s="458"/>
      <c r="I54" s="458"/>
      <c r="J54" s="458"/>
      <c r="K54" s="458"/>
      <c r="L54" s="458"/>
      <c r="M54" s="458"/>
      <c r="N54" s="458"/>
      <c r="O54" s="458"/>
      <c r="P54" s="458"/>
      <c r="Q54" s="458"/>
      <c r="R54" s="458"/>
      <c r="S54" s="458"/>
      <c r="T54" s="458"/>
      <c r="U54" s="458"/>
      <c r="V54" s="458"/>
      <c r="W54" s="458"/>
      <c r="X54" s="458"/>
      <c r="Y54" s="458"/>
      <c r="Z54" s="458"/>
      <c r="AA54" s="458"/>
      <c r="AB54" s="458"/>
      <c r="AC54" s="458"/>
      <c r="AD54" s="458"/>
      <c r="AE54" s="459"/>
    </row>
    <row r="55" spans="2:31" ht="20" customHeight="1">
      <c r="B55" s="142"/>
      <c r="C55" s="143"/>
      <c r="D55" s="143"/>
      <c r="E55" s="143"/>
      <c r="F55" s="144"/>
      <c r="G55" s="458"/>
      <c r="H55" s="458"/>
      <c r="I55" s="458"/>
      <c r="J55" s="458"/>
      <c r="K55" s="458"/>
      <c r="L55" s="458"/>
      <c r="M55" s="458"/>
      <c r="N55" s="458"/>
      <c r="O55" s="458"/>
      <c r="P55" s="458"/>
      <c r="Q55" s="458"/>
      <c r="R55" s="458"/>
      <c r="S55" s="458"/>
      <c r="T55" s="458"/>
      <c r="U55" s="458"/>
      <c r="V55" s="458"/>
      <c r="W55" s="458"/>
      <c r="X55" s="458"/>
      <c r="Y55" s="458"/>
      <c r="Z55" s="458"/>
      <c r="AA55" s="458"/>
      <c r="AB55" s="458"/>
      <c r="AC55" s="458"/>
      <c r="AD55" s="458"/>
      <c r="AE55" s="459"/>
    </row>
    <row r="56" spans="2:31" ht="20" customHeight="1">
      <c r="B56" s="142"/>
      <c r="C56" s="143"/>
      <c r="D56" s="143"/>
      <c r="E56" s="143"/>
      <c r="F56" s="144"/>
      <c r="G56" s="458"/>
      <c r="H56" s="458"/>
      <c r="I56" s="458"/>
      <c r="J56" s="458"/>
      <c r="K56" s="458"/>
      <c r="L56" s="458"/>
      <c r="M56" s="458"/>
      <c r="N56" s="458"/>
      <c r="O56" s="458"/>
      <c r="P56" s="458"/>
      <c r="Q56" s="458"/>
      <c r="R56" s="458"/>
      <c r="S56" s="458"/>
      <c r="T56" s="458"/>
      <c r="U56" s="458"/>
      <c r="V56" s="458"/>
      <c r="W56" s="458"/>
      <c r="X56" s="458"/>
      <c r="Y56" s="458"/>
      <c r="Z56" s="458"/>
      <c r="AA56" s="458"/>
      <c r="AB56" s="458"/>
      <c r="AC56" s="458"/>
      <c r="AD56" s="458"/>
      <c r="AE56" s="459"/>
    </row>
    <row r="57" spans="2:31" ht="20" customHeight="1">
      <c r="B57" s="142"/>
      <c r="C57" s="143"/>
      <c r="D57" s="143"/>
      <c r="E57" s="143"/>
      <c r="F57" s="144"/>
      <c r="G57" s="168" t="s">
        <v>88</v>
      </c>
      <c r="H57" s="168"/>
      <c r="I57" s="168"/>
      <c r="J57" s="168"/>
      <c r="K57" s="168"/>
      <c r="L57" s="168"/>
      <c r="M57" s="168"/>
      <c r="N57" s="168"/>
      <c r="O57" s="168"/>
      <c r="P57" s="168"/>
      <c r="Q57" s="168"/>
      <c r="R57" s="168"/>
      <c r="S57" s="168"/>
      <c r="T57" s="168"/>
      <c r="U57" s="168"/>
      <c r="V57" s="168"/>
      <c r="W57" s="168"/>
      <c r="X57" s="168"/>
      <c r="Y57" s="168"/>
      <c r="Z57" s="168"/>
      <c r="AA57" s="168"/>
      <c r="AB57" s="168"/>
      <c r="AC57" s="168"/>
      <c r="AD57" s="168"/>
      <c r="AE57" s="240"/>
    </row>
    <row r="58" spans="2:31" ht="20" customHeight="1">
      <c r="B58" s="142"/>
      <c r="C58" s="143"/>
      <c r="D58" s="143"/>
      <c r="E58" s="143"/>
      <c r="F58" s="144"/>
      <c r="G58" s="358"/>
      <c r="H58" s="359"/>
      <c r="I58" s="359"/>
      <c r="J58" s="359"/>
      <c r="K58" s="359"/>
      <c r="L58" s="359"/>
      <c r="M58" s="359"/>
      <c r="N58" s="359"/>
      <c r="O58" s="359"/>
      <c r="P58" s="359"/>
      <c r="Q58" s="359"/>
      <c r="R58" s="359"/>
      <c r="S58" s="359"/>
      <c r="T58" s="359"/>
      <c r="U58" s="359"/>
      <c r="V58" s="359"/>
      <c r="W58" s="359"/>
      <c r="X58" s="359"/>
      <c r="Y58" s="359"/>
      <c r="Z58" s="359"/>
      <c r="AA58" s="359"/>
      <c r="AB58" s="359"/>
      <c r="AC58" s="359"/>
      <c r="AD58" s="359"/>
      <c r="AE58" s="360"/>
    </row>
    <row r="59" spans="2:31" ht="20" customHeight="1">
      <c r="B59" s="142"/>
      <c r="C59" s="143"/>
      <c r="D59" s="143"/>
      <c r="E59" s="143"/>
      <c r="F59" s="144"/>
      <c r="G59" s="358"/>
      <c r="H59" s="359"/>
      <c r="I59" s="359"/>
      <c r="J59" s="359"/>
      <c r="K59" s="359"/>
      <c r="L59" s="359"/>
      <c r="M59" s="359"/>
      <c r="N59" s="359"/>
      <c r="O59" s="359"/>
      <c r="P59" s="359"/>
      <c r="Q59" s="359"/>
      <c r="R59" s="359"/>
      <c r="S59" s="359"/>
      <c r="T59" s="359"/>
      <c r="U59" s="359"/>
      <c r="V59" s="359"/>
      <c r="W59" s="359"/>
      <c r="X59" s="359"/>
      <c r="Y59" s="359"/>
      <c r="Z59" s="359"/>
      <c r="AA59" s="359"/>
      <c r="AB59" s="359"/>
      <c r="AC59" s="359"/>
      <c r="AD59" s="359"/>
      <c r="AE59" s="360"/>
    </row>
    <row r="60" spans="2:31" ht="20" customHeight="1">
      <c r="B60" s="142"/>
      <c r="C60" s="143"/>
      <c r="D60" s="143"/>
      <c r="E60" s="143"/>
      <c r="F60" s="144"/>
      <c r="G60" s="358"/>
      <c r="H60" s="359"/>
      <c r="I60" s="359"/>
      <c r="J60" s="359"/>
      <c r="K60" s="359"/>
      <c r="L60" s="359"/>
      <c r="M60" s="359"/>
      <c r="N60" s="359"/>
      <c r="O60" s="359"/>
      <c r="P60" s="359"/>
      <c r="Q60" s="359"/>
      <c r="R60" s="359"/>
      <c r="S60" s="359"/>
      <c r="T60" s="359"/>
      <c r="U60" s="359"/>
      <c r="V60" s="359"/>
      <c r="W60" s="359"/>
      <c r="X60" s="359"/>
      <c r="Y60" s="359"/>
      <c r="Z60" s="359"/>
      <c r="AA60" s="359"/>
      <c r="AB60" s="359"/>
      <c r="AC60" s="359"/>
      <c r="AD60" s="359"/>
      <c r="AE60" s="360"/>
    </row>
    <row r="61" spans="2:31" ht="20" customHeight="1" thickBot="1">
      <c r="B61" s="275"/>
      <c r="C61" s="276"/>
      <c r="D61" s="276"/>
      <c r="E61" s="276"/>
      <c r="F61" s="277"/>
      <c r="G61" s="361"/>
      <c r="H61" s="362"/>
      <c r="I61" s="362"/>
      <c r="J61" s="362"/>
      <c r="K61" s="362"/>
      <c r="L61" s="362"/>
      <c r="M61" s="362"/>
      <c r="N61" s="362"/>
      <c r="O61" s="362"/>
      <c r="P61" s="362"/>
      <c r="Q61" s="362"/>
      <c r="R61" s="362"/>
      <c r="S61" s="362"/>
      <c r="T61" s="362"/>
      <c r="U61" s="362"/>
      <c r="V61" s="362"/>
      <c r="W61" s="362"/>
      <c r="X61" s="362"/>
      <c r="Y61" s="362"/>
      <c r="Z61" s="362"/>
      <c r="AA61" s="362"/>
      <c r="AB61" s="362"/>
      <c r="AC61" s="362"/>
      <c r="AD61" s="362"/>
      <c r="AE61" s="363"/>
    </row>
    <row r="62" spans="2:31" ht="20" customHeight="1">
      <c r="B62" s="337" t="s">
        <v>97</v>
      </c>
      <c r="C62" s="338"/>
      <c r="D62" s="338"/>
      <c r="E62" s="338"/>
      <c r="F62" s="339"/>
      <c r="G62" s="343" t="s">
        <v>98</v>
      </c>
      <c r="H62" s="343"/>
      <c r="I62" s="343"/>
      <c r="J62" s="343"/>
      <c r="K62" s="343"/>
      <c r="L62" s="343"/>
      <c r="M62" s="343"/>
      <c r="N62" s="343"/>
      <c r="O62" s="343"/>
      <c r="P62" s="343"/>
      <c r="Q62" s="343"/>
      <c r="R62" s="343"/>
      <c r="S62" s="343"/>
      <c r="T62" s="343"/>
      <c r="U62" s="343"/>
      <c r="V62" s="343"/>
      <c r="W62" s="343"/>
      <c r="X62" s="343"/>
      <c r="Y62" s="343"/>
      <c r="Z62" s="343"/>
      <c r="AA62" s="343"/>
      <c r="AB62" s="343"/>
      <c r="AC62" s="343"/>
      <c r="AD62" s="343"/>
      <c r="AE62" s="344"/>
    </row>
    <row r="63" spans="2:31" ht="20" customHeight="1">
      <c r="B63" s="183"/>
      <c r="C63" s="184"/>
      <c r="D63" s="184"/>
      <c r="E63" s="184"/>
      <c r="F63" s="185"/>
      <c r="G63" s="345"/>
      <c r="H63" s="346"/>
      <c r="I63" s="346"/>
      <c r="J63" s="346"/>
      <c r="K63" s="346"/>
      <c r="L63" s="346"/>
      <c r="M63" s="346"/>
      <c r="N63" s="346"/>
      <c r="O63" s="346"/>
      <c r="P63" s="346"/>
      <c r="Q63" s="346"/>
      <c r="R63" s="346"/>
      <c r="S63" s="346"/>
      <c r="T63" s="346"/>
      <c r="U63" s="346"/>
      <c r="V63" s="346"/>
      <c r="W63" s="346"/>
      <c r="X63" s="346"/>
      <c r="Y63" s="346"/>
      <c r="Z63" s="346"/>
      <c r="AA63" s="346"/>
      <c r="AB63" s="346"/>
      <c r="AC63" s="346"/>
      <c r="AD63" s="346"/>
      <c r="AE63" s="347"/>
    </row>
    <row r="64" spans="2:31" ht="20" customHeight="1">
      <c r="B64" s="183"/>
      <c r="C64" s="184"/>
      <c r="D64" s="184"/>
      <c r="E64" s="184"/>
      <c r="F64" s="185"/>
      <c r="G64" s="348"/>
      <c r="H64" s="349"/>
      <c r="I64" s="349"/>
      <c r="J64" s="349"/>
      <c r="K64" s="349"/>
      <c r="L64" s="349"/>
      <c r="M64" s="349"/>
      <c r="N64" s="349"/>
      <c r="O64" s="349"/>
      <c r="P64" s="349"/>
      <c r="Q64" s="349"/>
      <c r="R64" s="349"/>
      <c r="S64" s="349"/>
      <c r="T64" s="349"/>
      <c r="U64" s="349"/>
      <c r="V64" s="349"/>
      <c r="W64" s="349"/>
      <c r="X64" s="349"/>
      <c r="Y64" s="349"/>
      <c r="Z64" s="349"/>
      <c r="AA64" s="349"/>
      <c r="AB64" s="349"/>
      <c r="AC64" s="349"/>
      <c r="AD64" s="349"/>
      <c r="AE64" s="350"/>
    </row>
    <row r="65" spans="2:31" ht="20" customHeight="1">
      <c r="B65" s="183"/>
      <c r="C65" s="184"/>
      <c r="D65" s="184"/>
      <c r="E65" s="184"/>
      <c r="F65" s="185"/>
      <c r="G65" s="348"/>
      <c r="H65" s="349"/>
      <c r="I65" s="349"/>
      <c r="J65" s="349"/>
      <c r="K65" s="349"/>
      <c r="L65" s="349"/>
      <c r="M65" s="349"/>
      <c r="N65" s="349"/>
      <c r="O65" s="349"/>
      <c r="P65" s="349"/>
      <c r="Q65" s="349"/>
      <c r="R65" s="349"/>
      <c r="S65" s="349"/>
      <c r="T65" s="349"/>
      <c r="U65" s="349"/>
      <c r="V65" s="349"/>
      <c r="W65" s="349"/>
      <c r="X65" s="349"/>
      <c r="Y65" s="349"/>
      <c r="Z65" s="349"/>
      <c r="AA65" s="349"/>
      <c r="AB65" s="349"/>
      <c r="AC65" s="349"/>
      <c r="AD65" s="349"/>
      <c r="AE65" s="350"/>
    </row>
    <row r="66" spans="2:31" ht="20" customHeight="1">
      <c r="B66" s="183"/>
      <c r="C66" s="184"/>
      <c r="D66" s="184"/>
      <c r="E66" s="184"/>
      <c r="F66" s="185"/>
      <c r="G66" s="348"/>
      <c r="H66" s="349"/>
      <c r="I66" s="349"/>
      <c r="J66" s="349"/>
      <c r="K66" s="349"/>
      <c r="L66" s="349"/>
      <c r="M66" s="349"/>
      <c r="N66" s="349"/>
      <c r="O66" s="349"/>
      <c r="P66" s="349"/>
      <c r="Q66" s="349"/>
      <c r="R66" s="349"/>
      <c r="S66" s="349"/>
      <c r="T66" s="349"/>
      <c r="U66" s="349"/>
      <c r="V66" s="349"/>
      <c r="W66" s="349"/>
      <c r="X66" s="349"/>
      <c r="Y66" s="349"/>
      <c r="Z66" s="349"/>
      <c r="AA66" s="349"/>
      <c r="AB66" s="349"/>
      <c r="AC66" s="349"/>
      <c r="AD66" s="349"/>
      <c r="AE66" s="350"/>
    </row>
    <row r="67" spans="2:31" ht="20" customHeight="1">
      <c r="B67" s="183"/>
      <c r="C67" s="184"/>
      <c r="D67" s="184"/>
      <c r="E67" s="184"/>
      <c r="F67" s="185"/>
      <c r="G67" s="348"/>
      <c r="H67" s="349"/>
      <c r="I67" s="349"/>
      <c r="J67" s="349"/>
      <c r="K67" s="349"/>
      <c r="L67" s="349"/>
      <c r="M67" s="349"/>
      <c r="N67" s="349"/>
      <c r="O67" s="349"/>
      <c r="P67" s="349"/>
      <c r="Q67" s="349"/>
      <c r="R67" s="349"/>
      <c r="S67" s="349"/>
      <c r="T67" s="349"/>
      <c r="U67" s="349"/>
      <c r="V67" s="349"/>
      <c r="W67" s="349"/>
      <c r="X67" s="349"/>
      <c r="Y67" s="349"/>
      <c r="Z67" s="349"/>
      <c r="AA67" s="349"/>
      <c r="AB67" s="349"/>
      <c r="AC67" s="349"/>
      <c r="AD67" s="349"/>
      <c r="AE67" s="350"/>
    </row>
    <row r="68" spans="2:31" ht="20" customHeight="1">
      <c r="B68" s="183"/>
      <c r="C68" s="184"/>
      <c r="D68" s="184"/>
      <c r="E68" s="184"/>
      <c r="F68" s="185"/>
      <c r="G68" s="348"/>
      <c r="H68" s="349"/>
      <c r="I68" s="349"/>
      <c r="J68" s="349"/>
      <c r="K68" s="349"/>
      <c r="L68" s="349"/>
      <c r="M68" s="349"/>
      <c r="N68" s="349"/>
      <c r="O68" s="349"/>
      <c r="P68" s="349"/>
      <c r="Q68" s="349"/>
      <c r="R68" s="349"/>
      <c r="S68" s="349"/>
      <c r="T68" s="349"/>
      <c r="U68" s="349"/>
      <c r="V68" s="349"/>
      <c r="W68" s="349"/>
      <c r="X68" s="349"/>
      <c r="Y68" s="349"/>
      <c r="Z68" s="349"/>
      <c r="AA68" s="349"/>
      <c r="AB68" s="349"/>
      <c r="AC68" s="349"/>
      <c r="AD68" s="349"/>
      <c r="AE68" s="350"/>
    </row>
    <row r="69" spans="2:31" ht="20" customHeight="1" thickBot="1">
      <c r="B69" s="340"/>
      <c r="C69" s="341"/>
      <c r="D69" s="341"/>
      <c r="E69" s="341"/>
      <c r="F69" s="342"/>
      <c r="G69" s="351"/>
      <c r="H69" s="352"/>
      <c r="I69" s="352"/>
      <c r="J69" s="352"/>
      <c r="K69" s="352"/>
      <c r="L69" s="352"/>
      <c r="M69" s="352"/>
      <c r="N69" s="352"/>
      <c r="O69" s="352"/>
      <c r="P69" s="352"/>
      <c r="Q69" s="352"/>
      <c r="R69" s="352"/>
      <c r="S69" s="352"/>
      <c r="T69" s="352"/>
      <c r="U69" s="352"/>
      <c r="V69" s="352"/>
      <c r="W69" s="352"/>
      <c r="X69" s="352"/>
      <c r="Y69" s="352"/>
      <c r="Z69" s="352"/>
      <c r="AA69" s="352"/>
      <c r="AB69" s="352"/>
      <c r="AC69" s="352"/>
      <c r="AD69" s="352"/>
      <c r="AE69" s="353"/>
    </row>
    <row r="70" spans="2:31" ht="8" customHeight="1"/>
    <row r="71" spans="2:31" ht="8" customHeight="1"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</row>
    <row r="72" spans="2:31" ht="17" thickBot="1">
      <c r="B72" s="1" t="s">
        <v>33</v>
      </c>
    </row>
    <row r="73" spans="2:31">
      <c r="B73" s="213" t="s">
        <v>34</v>
      </c>
      <c r="C73" s="208"/>
      <c r="D73" s="208"/>
      <c r="E73" s="208"/>
      <c r="F73" s="163"/>
      <c r="G73" s="163"/>
      <c r="H73" s="163"/>
      <c r="I73" s="163"/>
      <c r="J73" s="208" t="s">
        <v>35</v>
      </c>
      <c r="K73" s="208"/>
      <c r="L73" s="208"/>
      <c r="M73" s="208"/>
      <c r="N73" s="210"/>
      <c r="O73" s="210"/>
      <c r="P73" s="210"/>
      <c r="Q73" s="210"/>
      <c r="R73" s="210"/>
      <c r="S73" s="210"/>
      <c r="T73" s="210"/>
      <c r="U73" s="210"/>
      <c r="V73" s="210"/>
      <c r="W73" s="210"/>
      <c r="X73" s="210"/>
      <c r="Y73" s="210"/>
      <c r="Z73" s="210"/>
      <c r="AA73" s="210"/>
      <c r="AB73" s="210"/>
      <c r="AC73" s="210"/>
      <c r="AD73" s="210"/>
      <c r="AE73" s="456"/>
    </row>
    <row r="74" spans="2:31">
      <c r="B74" s="412" t="s">
        <v>41</v>
      </c>
      <c r="C74" s="422" t="s">
        <v>102</v>
      </c>
      <c r="D74" s="423"/>
      <c r="E74" s="423"/>
      <c r="F74" s="423"/>
      <c r="G74" s="423"/>
      <c r="H74" s="423"/>
      <c r="I74" s="423"/>
      <c r="J74" s="423"/>
      <c r="K74" s="423"/>
      <c r="L74" s="423"/>
      <c r="M74" s="423"/>
      <c r="N74" s="423"/>
      <c r="O74" s="423"/>
      <c r="P74" s="423"/>
      <c r="Q74" s="423"/>
      <c r="R74" s="423"/>
      <c r="S74" s="423"/>
      <c r="T74" s="423"/>
      <c r="U74" s="423"/>
      <c r="V74" s="423"/>
      <c r="W74" s="423"/>
      <c r="X74" s="423"/>
      <c r="Y74" s="423"/>
      <c r="Z74" s="423"/>
      <c r="AA74" s="423"/>
      <c r="AB74" s="423"/>
      <c r="AC74" s="423"/>
      <c r="AD74" s="423"/>
      <c r="AE74" s="424"/>
    </row>
    <row r="75" spans="2:31">
      <c r="B75" s="412"/>
      <c r="C75" s="423"/>
      <c r="D75" s="423"/>
      <c r="E75" s="423"/>
      <c r="F75" s="423"/>
      <c r="G75" s="423"/>
      <c r="H75" s="423"/>
      <c r="I75" s="423"/>
      <c r="J75" s="423"/>
      <c r="K75" s="423"/>
      <c r="L75" s="423"/>
      <c r="M75" s="423"/>
      <c r="N75" s="423"/>
      <c r="O75" s="423"/>
      <c r="P75" s="423"/>
      <c r="Q75" s="423"/>
      <c r="R75" s="423"/>
      <c r="S75" s="423"/>
      <c r="T75" s="423"/>
      <c r="U75" s="423"/>
      <c r="V75" s="423"/>
      <c r="W75" s="423"/>
      <c r="X75" s="423"/>
      <c r="Y75" s="423"/>
      <c r="Z75" s="423"/>
      <c r="AA75" s="423"/>
      <c r="AB75" s="423"/>
      <c r="AC75" s="423"/>
      <c r="AD75" s="423"/>
      <c r="AE75" s="424"/>
    </row>
    <row r="76" spans="2:31">
      <c r="B76" s="412"/>
      <c r="C76" s="423"/>
      <c r="D76" s="423"/>
      <c r="E76" s="423"/>
      <c r="F76" s="423"/>
      <c r="G76" s="423"/>
      <c r="H76" s="423"/>
      <c r="I76" s="423"/>
      <c r="J76" s="423"/>
      <c r="K76" s="423"/>
      <c r="L76" s="423"/>
      <c r="M76" s="423"/>
      <c r="N76" s="423"/>
      <c r="O76" s="423"/>
      <c r="P76" s="423"/>
      <c r="Q76" s="423"/>
      <c r="R76" s="423"/>
      <c r="S76" s="423"/>
      <c r="T76" s="423"/>
      <c r="U76" s="423"/>
      <c r="V76" s="423"/>
      <c r="W76" s="423"/>
      <c r="X76" s="423"/>
      <c r="Y76" s="423"/>
      <c r="Z76" s="423"/>
      <c r="AA76" s="423"/>
      <c r="AB76" s="423"/>
      <c r="AC76" s="423"/>
      <c r="AD76" s="423"/>
      <c r="AE76" s="424"/>
    </row>
    <row r="77" spans="2:31">
      <c r="B77" s="412"/>
      <c r="C77" s="423"/>
      <c r="D77" s="423"/>
      <c r="E77" s="423"/>
      <c r="F77" s="423"/>
      <c r="G77" s="423"/>
      <c r="H77" s="423"/>
      <c r="I77" s="423"/>
      <c r="J77" s="423"/>
      <c r="K77" s="423"/>
      <c r="L77" s="423"/>
      <c r="M77" s="423"/>
      <c r="N77" s="423"/>
      <c r="O77" s="423"/>
      <c r="P77" s="423"/>
      <c r="Q77" s="423"/>
      <c r="R77" s="423"/>
      <c r="S77" s="423"/>
      <c r="T77" s="423"/>
      <c r="U77" s="423"/>
      <c r="V77" s="423"/>
      <c r="W77" s="423"/>
      <c r="X77" s="423"/>
      <c r="Y77" s="423"/>
      <c r="Z77" s="423"/>
      <c r="AA77" s="423"/>
      <c r="AB77" s="423"/>
      <c r="AC77" s="423"/>
      <c r="AD77" s="423"/>
      <c r="AE77" s="424"/>
    </row>
    <row r="78" spans="2:31" ht="17" thickBot="1">
      <c r="B78" s="413"/>
      <c r="C78" s="425"/>
      <c r="D78" s="425"/>
      <c r="E78" s="425"/>
      <c r="F78" s="425"/>
      <c r="G78" s="425"/>
      <c r="H78" s="425"/>
      <c r="I78" s="425"/>
      <c r="J78" s="425"/>
      <c r="K78" s="425"/>
      <c r="L78" s="425"/>
      <c r="M78" s="425"/>
      <c r="N78" s="425"/>
      <c r="O78" s="425"/>
      <c r="P78" s="425"/>
      <c r="Q78" s="425"/>
      <c r="R78" s="425"/>
      <c r="S78" s="425"/>
      <c r="T78" s="425"/>
      <c r="U78" s="425"/>
      <c r="V78" s="425"/>
      <c r="W78" s="425"/>
      <c r="X78" s="425"/>
      <c r="Y78" s="425"/>
      <c r="Z78" s="425"/>
      <c r="AA78" s="425"/>
      <c r="AB78" s="425"/>
      <c r="AC78" s="425"/>
      <c r="AD78" s="425"/>
      <c r="AE78" s="426"/>
    </row>
    <row r="79" spans="2:31" ht="17" thickBot="1">
      <c r="J79" s="1" t="s">
        <v>92</v>
      </c>
    </row>
    <row r="80" spans="2:31" ht="15" customHeight="1">
      <c r="B80" s="394" t="s">
        <v>27</v>
      </c>
      <c r="C80" s="395"/>
      <c r="D80" s="396"/>
      <c r="E80" s="417" t="s">
        <v>25</v>
      </c>
      <c r="F80" s="395"/>
      <c r="G80" s="396"/>
      <c r="H80" s="417" t="s">
        <v>26</v>
      </c>
      <c r="I80" s="396"/>
      <c r="J80" s="230" t="s">
        <v>37</v>
      </c>
      <c r="K80" s="230"/>
      <c r="L80" s="230" t="s">
        <v>36</v>
      </c>
      <c r="M80" s="230"/>
      <c r="N80" s="230" t="s">
        <v>38</v>
      </c>
      <c r="O80" s="230"/>
      <c r="P80" s="230" t="s">
        <v>39</v>
      </c>
      <c r="Q80" s="230"/>
      <c r="R80" s="434" t="s">
        <v>40</v>
      </c>
      <c r="S80" s="453"/>
      <c r="T80" s="434" t="s">
        <v>40</v>
      </c>
      <c r="U80" s="435"/>
      <c r="V80" s="435"/>
      <c r="W80" s="435"/>
      <c r="X80" s="435"/>
      <c r="Y80" s="435"/>
      <c r="Z80" s="435"/>
      <c r="AA80" s="435"/>
      <c r="AB80" s="435"/>
      <c r="AC80" s="435"/>
      <c r="AD80" s="435"/>
      <c r="AE80" s="436"/>
    </row>
    <row r="81" spans="2:31">
      <c r="B81" s="397"/>
      <c r="C81" s="398"/>
      <c r="D81" s="399"/>
      <c r="E81" s="418"/>
      <c r="F81" s="398"/>
      <c r="G81" s="399"/>
      <c r="H81" s="418"/>
      <c r="I81" s="399"/>
      <c r="J81" s="223"/>
      <c r="K81" s="223"/>
      <c r="L81" s="223"/>
      <c r="M81" s="223"/>
      <c r="N81" s="223"/>
      <c r="O81" s="223"/>
      <c r="P81" s="223"/>
      <c r="Q81" s="223"/>
      <c r="R81" s="437"/>
      <c r="S81" s="454"/>
      <c r="T81" s="437"/>
      <c r="U81" s="438"/>
      <c r="V81" s="438"/>
      <c r="W81" s="438"/>
      <c r="X81" s="438"/>
      <c r="Y81" s="438"/>
      <c r="Z81" s="438"/>
      <c r="AA81" s="438"/>
      <c r="AB81" s="438"/>
      <c r="AC81" s="438"/>
      <c r="AD81" s="438"/>
      <c r="AE81" s="439"/>
    </row>
    <row r="82" spans="2:31">
      <c r="B82" s="400" t="str">
        <f>プロジェクト管理表!C32</f>
        <v>PPM</v>
      </c>
      <c r="C82" s="401"/>
      <c r="D82" s="402"/>
      <c r="E82" s="260" t="str">
        <f t="shared" ref="E82:E89" si="0">J41</f>
        <v>周娴</v>
      </c>
      <c r="F82" s="261"/>
      <c r="G82" s="262"/>
      <c r="H82" s="260" t="str">
        <f t="shared" ref="H82:H89" si="1">M41</f>
        <v>-</v>
      </c>
      <c r="I82" s="262"/>
      <c r="J82" s="440"/>
      <c r="K82" s="441"/>
      <c r="L82" s="440"/>
      <c r="M82" s="441"/>
      <c r="N82" s="233"/>
      <c r="O82" s="233"/>
      <c r="P82" s="455"/>
      <c r="Q82" s="455"/>
      <c r="R82" s="429">
        <f>(($J$82*$L$82)+N82)*P82</f>
        <v>0</v>
      </c>
      <c r="S82" s="430"/>
      <c r="T82" s="431"/>
      <c r="U82" s="432"/>
      <c r="V82" s="432"/>
      <c r="W82" s="432"/>
      <c r="X82" s="432"/>
      <c r="Y82" s="432"/>
      <c r="Z82" s="432"/>
      <c r="AA82" s="432"/>
      <c r="AB82" s="432"/>
      <c r="AC82" s="432"/>
      <c r="AD82" s="432"/>
      <c r="AE82" s="433"/>
    </row>
    <row r="83" spans="2:31">
      <c r="B83" s="400" t="str">
        <f>プロジェクト管理表!C34</f>
        <v>PMO</v>
      </c>
      <c r="C83" s="401"/>
      <c r="D83" s="402"/>
      <c r="E83" s="260">
        <f t="shared" si="0"/>
        <v>0</v>
      </c>
      <c r="F83" s="261"/>
      <c r="G83" s="262"/>
      <c r="H83" s="260" t="str">
        <f t="shared" si="1"/>
        <v>-</v>
      </c>
      <c r="I83" s="262"/>
      <c r="J83" s="442"/>
      <c r="K83" s="443"/>
      <c r="L83" s="442"/>
      <c r="M83" s="443"/>
      <c r="N83" s="233"/>
      <c r="O83" s="233"/>
      <c r="P83" s="455"/>
      <c r="Q83" s="455"/>
      <c r="R83" s="429">
        <f t="shared" ref="R83:R91" si="2">(($J$82*$L$82)+N83)*P83</f>
        <v>0</v>
      </c>
      <c r="S83" s="430"/>
      <c r="T83" s="431"/>
      <c r="U83" s="432"/>
      <c r="V83" s="432"/>
      <c r="W83" s="432"/>
      <c r="X83" s="432"/>
      <c r="Y83" s="432"/>
      <c r="Z83" s="432"/>
      <c r="AA83" s="432"/>
      <c r="AB83" s="432"/>
      <c r="AC83" s="432"/>
      <c r="AD83" s="432"/>
      <c r="AE83" s="433"/>
    </row>
    <row r="84" spans="2:31">
      <c r="B84" s="400" t="str">
        <f>プロジェクト管理表!C36</f>
        <v>PD</v>
      </c>
      <c r="C84" s="401"/>
      <c r="D84" s="402"/>
      <c r="E84" s="260" t="str">
        <f t="shared" si="0"/>
        <v>山崎</v>
      </c>
      <c r="F84" s="261"/>
      <c r="G84" s="262"/>
      <c r="H84" s="260" t="str">
        <f t="shared" si="1"/>
        <v>-</v>
      </c>
      <c r="I84" s="262"/>
      <c r="J84" s="442"/>
      <c r="K84" s="443"/>
      <c r="L84" s="442"/>
      <c r="M84" s="443"/>
      <c r="N84" s="233"/>
      <c r="O84" s="233"/>
      <c r="P84" s="455"/>
      <c r="Q84" s="455"/>
      <c r="R84" s="429">
        <f t="shared" si="2"/>
        <v>0</v>
      </c>
      <c r="S84" s="430"/>
      <c r="T84" s="431"/>
      <c r="U84" s="432"/>
      <c r="V84" s="432"/>
      <c r="W84" s="432"/>
      <c r="X84" s="432"/>
      <c r="Y84" s="432"/>
      <c r="Z84" s="432"/>
      <c r="AA84" s="432"/>
      <c r="AB84" s="432"/>
      <c r="AC84" s="432"/>
      <c r="AD84" s="432"/>
      <c r="AE84" s="433"/>
    </row>
    <row r="85" spans="2:31">
      <c r="B85" s="400" t="str">
        <f>プロジェクト管理表!C38</f>
        <v>PM</v>
      </c>
      <c r="C85" s="401"/>
      <c r="D85" s="402"/>
      <c r="E85" s="260" t="str">
        <f t="shared" si="0"/>
        <v>沈庆元</v>
      </c>
      <c r="F85" s="261"/>
      <c r="G85" s="262"/>
      <c r="H85" s="260" t="str">
        <f t="shared" si="1"/>
        <v>-</v>
      </c>
      <c r="I85" s="262"/>
      <c r="J85" s="442"/>
      <c r="K85" s="443"/>
      <c r="L85" s="442"/>
      <c r="M85" s="443"/>
      <c r="N85" s="233"/>
      <c r="O85" s="233"/>
      <c r="P85" s="455"/>
      <c r="Q85" s="455"/>
      <c r="R85" s="429">
        <f t="shared" si="2"/>
        <v>0</v>
      </c>
      <c r="S85" s="430"/>
      <c r="T85" s="431"/>
      <c r="U85" s="432"/>
      <c r="V85" s="432"/>
      <c r="W85" s="432"/>
      <c r="X85" s="432"/>
      <c r="Y85" s="432"/>
      <c r="Z85" s="432"/>
      <c r="AA85" s="432"/>
      <c r="AB85" s="432"/>
      <c r="AC85" s="432"/>
      <c r="AD85" s="432"/>
      <c r="AE85" s="433"/>
    </row>
    <row r="86" spans="2:31">
      <c r="B86" s="400" t="str">
        <f>プロジェクト管理表!C40</f>
        <v>CREW①</v>
      </c>
      <c r="C86" s="401"/>
      <c r="D86" s="402"/>
      <c r="E86" s="260" t="str">
        <f t="shared" si="0"/>
        <v>王旭</v>
      </c>
      <c r="F86" s="261"/>
      <c r="G86" s="262"/>
      <c r="H86" s="260" t="str">
        <f t="shared" si="1"/>
        <v>-</v>
      </c>
      <c r="I86" s="262"/>
      <c r="J86" s="442"/>
      <c r="K86" s="443"/>
      <c r="L86" s="442"/>
      <c r="M86" s="443"/>
      <c r="N86" s="233"/>
      <c r="O86" s="233"/>
      <c r="P86" s="427"/>
      <c r="Q86" s="428"/>
      <c r="R86" s="429">
        <f t="shared" si="2"/>
        <v>0</v>
      </c>
      <c r="S86" s="430"/>
      <c r="T86" s="431"/>
      <c r="U86" s="432"/>
      <c r="V86" s="432"/>
      <c r="W86" s="432"/>
      <c r="X86" s="432"/>
      <c r="Y86" s="432"/>
      <c r="Z86" s="432"/>
      <c r="AA86" s="432"/>
      <c r="AB86" s="432"/>
      <c r="AC86" s="432"/>
      <c r="AD86" s="432"/>
      <c r="AE86" s="433"/>
    </row>
    <row r="87" spans="2:31">
      <c r="B87" s="400" t="str">
        <f>プロジェクト管理表!C42</f>
        <v>CREW②</v>
      </c>
      <c r="C87" s="401"/>
      <c r="D87" s="402"/>
      <c r="E87" s="260" t="str">
        <f t="shared" si="0"/>
        <v>-</v>
      </c>
      <c r="F87" s="261"/>
      <c r="G87" s="262"/>
      <c r="H87" s="260" t="str">
        <f t="shared" si="1"/>
        <v>-</v>
      </c>
      <c r="I87" s="262"/>
      <c r="J87" s="442"/>
      <c r="K87" s="443"/>
      <c r="L87" s="442"/>
      <c r="M87" s="443"/>
      <c r="N87" s="233"/>
      <c r="O87" s="233"/>
      <c r="P87" s="427"/>
      <c r="Q87" s="428"/>
      <c r="R87" s="429">
        <f t="shared" si="2"/>
        <v>0</v>
      </c>
      <c r="S87" s="430"/>
      <c r="T87" s="431"/>
      <c r="U87" s="432"/>
      <c r="V87" s="432"/>
      <c r="W87" s="432"/>
      <c r="X87" s="432"/>
      <c r="Y87" s="432"/>
      <c r="Z87" s="432"/>
      <c r="AA87" s="432"/>
      <c r="AB87" s="432"/>
      <c r="AC87" s="432"/>
      <c r="AD87" s="432"/>
      <c r="AE87" s="433"/>
    </row>
    <row r="88" spans="2:31">
      <c r="B88" s="400" t="str">
        <f>プロジェクト管理表!C44</f>
        <v>CREW③</v>
      </c>
      <c r="C88" s="401"/>
      <c r="D88" s="402"/>
      <c r="E88" s="260" t="str">
        <f t="shared" si="0"/>
        <v>-</v>
      </c>
      <c r="F88" s="261"/>
      <c r="G88" s="262"/>
      <c r="H88" s="260" t="str">
        <f t="shared" si="1"/>
        <v>-</v>
      </c>
      <c r="I88" s="262"/>
      <c r="J88" s="442"/>
      <c r="K88" s="443"/>
      <c r="L88" s="442"/>
      <c r="M88" s="443"/>
      <c r="N88" s="233"/>
      <c r="O88" s="233"/>
      <c r="P88" s="427"/>
      <c r="Q88" s="428"/>
      <c r="R88" s="429">
        <f t="shared" si="2"/>
        <v>0</v>
      </c>
      <c r="S88" s="430"/>
      <c r="T88" s="431"/>
      <c r="U88" s="432"/>
      <c r="V88" s="432"/>
      <c r="W88" s="432"/>
      <c r="X88" s="432"/>
      <c r="Y88" s="432"/>
      <c r="Z88" s="432"/>
      <c r="AA88" s="432"/>
      <c r="AB88" s="432"/>
      <c r="AC88" s="432"/>
      <c r="AD88" s="432"/>
      <c r="AE88" s="433"/>
    </row>
    <row r="89" spans="2:31">
      <c r="B89" s="400" t="str">
        <f>プロジェクト管理表!C46</f>
        <v>CREW④</v>
      </c>
      <c r="C89" s="401"/>
      <c r="D89" s="402"/>
      <c r="E89" s="260" t="str">
        <f t="shared" si="0"/>
        <v>-</v>
      </c>
      <c r="F89" s="261"/>
      <c r="G89" s="262"/>
      <c r="H89" s="260" t="str">
        <f t="shared" si="1"/>
        <v>-</v>
      </c>
      <c r="I89" s="262"/>
      <c r="J89" s="442"/>
      <c r="K89" s="443"/>
      <c r="L89" s="442"/>
      <c r="M89" s="443"/>
      <c r="N89" s="233"/>
      <c r="O89" s="233"/>
      <c r="P89" s="427"/>
      <c r="Q89" s="428"/>
      <c r="R89" s="429">
        <f t="shared" si="2"/>
        <v>0</v>
      </c>
      <c r="S89" s="430"/>
      <c r="T89" s="431"/>
      <c r="U89" s="432"/>
      <c r="V89" s="432"/>
      <c r="W89" s="432"/>
      <c r="X89" s="432"/>
      <c r="Y89" s="432"/>
      <c r="Z89" s="432"/>
      <c r="AA89" s="432"/>
      <c r="AB89" s="432"/>
      <c r="AC89" s="432"/>
      <c r="AD89" s="432"/>
      <c r="AE89" s="433"/>
    </row>
    <row r="90" spans="2:31">
      <c r="B90" s="400" t="str">
        <f>プロジェクト管理表!C48</f>
        <v>CREW⑤</v>
      </c>
      <c r="C90" s="401"/>
      <c r="D90" s="402"/>
      <c r="E90" s="260" t="str">
        <f t="shared" ref="E90" si="3">J49</f>
        <v>-</v>
      </c>
      <c r="F90" s="261"/>
      <c r="G90" s="262"/>
      <c r="H90" s="260" t="str">
        <f t="shared" ref="H90" si="4">M49</f>
        <v>-</v>
      </c>
      <c r="I90" s="262"/>
      <c r="J90" s="442"/>
      <c r="K90" s="443"/>
      <c r="L90" s="442"/>
      <c r="M90" s="443"/>
      <c r="N90" s="233"/>
      <c r="O90" s="233"/>
      <c r="P90" s="427"/>
      <c r="Q90" s="428"/>
      <c r="R90" s="429">
        <f t="shared" ref="R90" si="5">(($J$82*$L$82)+N90)*P90</f>
        <v>0</v>
      </c>
      <c r="S90" s="430"/>
      <c r="T90" s="431"/>
      <c r="U90" s="432"/>
      <c r="V90" s="432"/>
      <c r="W90" s="432"/>
      <c r="X90" s="432"/>
      <c r="Y90" s="432"/>
      <c r="Z90" s="432"/>
      <c r="AA90" s="432"/>
      <c r="AB90" s="432"/>
      <c r="AC90" s="432"/>
      <c r="AD90" s="432"/>
      <c r="AE90" s="433"/>
    </row>
    <row r="91" spans="2:31" ht="17" thickBot="1">
      <c r="B91" s="414" t="str">
        <f>プロジェクト管理表!C50</f>
        <v>CREW⑥</v>
      </c>
      <c r="C91" s="415"/>
      <c r="D91" s="416"/>
      <c r="E91" s="419" t="str">
        <f t="shared" ref="E91" si="6">J50</f>
        <v>-</v>
      </c>
      <c r="F91" s="420"/>
      <c r="G91" s="421"/>
      <c r="H91" s="419" t="str">
        <f t="shared" ref="H91" si="7">M50</f>
        <v>-</v>
      </c>
      <c r="I91" s="421"/>
      <c r="J91" s="444"/>
      <c r="K91" s="445"/>
      <c r="L91" s="444"/>
      <c r="M91" s="445"/>
      <c r="N91" s="446"/>
      <c r="O91" s="446"/>
      <c r="P91" s="452"/>
      <c r="Q91" s="452"/>
      <c r="R91" s="450">
        <f t="shared" si="2"/>
        <v>0</v>
      </c>
      <c r="S91" s="451"/>
      <c r="T91" s="447"/>
      <c r="U91" s="448"/>
      <c r="V91" s="448"/>
      <c r="W91" s="448"/>
      <c r="X91" s="448"/>
      <c r="Y91" s="448"/>
      <c r="Z91" s="448"/>
      <c r="AA91" s="448"/>
      <c r="AB91" s="448"/>
      <c r="AC91" s="448"/>
      <c r="AD91" s="448"/>
      <c r="AE91" s="449"/>
    </row>
  </sheetData>
  <dataConsolidate/>
  <mergeCells count="215">
    <mergeCell ref="G51:I51"/>
    <mergeCell ref="J51:R51"/>
    <mergeCell ref="G52:AE52"/>
    <mergeCell ref="G57:AE57"/>
    <mergeCell ref="G53:AE56"/>
    <mergeCell ref="S38:AE38"/>
    <mergeCell ref="S39:AE51"/>
    <mergeCell ref="J73:M73"/>
    <mergeCell ref="G47:I47"/>
    <mergeCell ref="J47:L47"/>
    <mergeCell ref="G48:I48"/>
    <mergeCell ref="J48:L48"/>
    <mergeCell ref="G50:I50"/>
    <mergeCell ref="J50:L50"/>
    <mergeCell ref="O48:P48"/>
    <mergeCell ref="Q48:R48"/>
    <mergeCell ref="O50:P50"/>
    <mergeCell ref="Q50:R50"/>
    <mergeCell ref="M48:N48"/>
    <mergeCell ref="M50:N50"/>
    <mergeCell ref="G49:I49"/>
    <mergeCell ref="J49:L49"/>
    <mergeCell ref="M49:N49"/>
    <mergeCell ref="M39:N40"/>
    <mergeCell ref="L80:M81"/>
    <mergeCell ref="N80:O81"/>
    <mergeCell ref="H80:I81"/>
    <mergeCell ref="H82:I82"/>
    <mergeCell ref="H83:I83"/>
    <mergeCell ref="N73:AE73"/>
    <mergeCell ref="T86:AE86"/>
    <mergeCell ref="T87:AE87"/>
    <mergeCell ref="T88:AE88"/>
    <mergeCell ref="T89:AE89"/>
    <mergeCell ref="R80:S81"/>
    <mergeCell ref="P82:Q82"/>
    <mergeCell ref="P83:Q83"/>
    <mergeCell ref="R82:S82"/>
    <mergeCell ref="R83:S83"/>
    <mergeCell ref="P80:Q81"/>
    <mergeCell ref="P84:Q84"/>
    <mergeCell ref="P85:Q85"/>
    <mergeCell ref="R84:S84"/>
    <mergeCell ref="R85:S85"/>
    <mergeCell ref="R86:S86"/>
    <mergeCell ref="R87:S87"/>
    <mergeCell ref="R88:S88"/>
    <mergeCell ref="R89:S89"/>
    <mergeCell ref="R91:S91"/>
    <mergeCell ref="H87:I87"/>
    <mergeCell ref="H88:I88"/>
    <mergeCell ref="H89:I89"/>
    <mergeCell ref="H91:I91"/>
    <mergeCell ref="P91:Q91"/>
    <mergeCell ref="P86:Q86"/>
    <mergeCell ref="P87:Q87"/>
    <mergeCell ref="P88:Q88"/>
    <mergeCell ref="P89:Q89"/>
    <mergeCell ref="B87:D87"/>
    <mergeCell ref="B88:D88"/>
    <mergeCell ref="B89:D89"/>
    <mergeCell ref="T80:AE81"/>
    <mergeCell ref="T82:AE82"/>
    <mergeCell ref="T83:AE83"/>
    <mergeCell ref="J80:K81"/>
    <mergeCell ref="J82:K91"/>
    <mergeCell ref="L82:M91"/>
    <mergeCell ref="N82:O82"/>
    <mergeCell ref="N83:O83"/>
    <mergeCell ref="N84:O84"/>
    <mergeCell ref="N85:O85"/>
    <mergeCell ref="N86:O86"/>
    <mergeCell ref="N87:O87"/>
    <mergeCell ref="N88:O88"/>
    <mergeCell ref="N89:O89"/>
    <mergeCell ref="N91:O91"/>
    <mergeCell ref="T84:AE84"/>
    <mergeCell ref="T85:AE85"/>
    <mergeCell ref="T91:AE91"/>
    <mergeCell ref="H84:I84"/>
    <mergeCell ref="H85:I85"/>
    <mergeCell ref="H86:I86"/>
    <mergeCell ref="B74:B78"/>
    <mergeCell ref="B91:D91"/>
    <mergeCell ref="E80:G81"/>
    <mergeCell ref="E82:G82"/>
    <mergeCell ref="E83:G83"/>
    <mergeCell ref="E84:G84"/>
    <mergeCell ref="E85:G85"/>
    <mergeCell ref="E86:G86"/>
    <mergeCell ref="E87:G87"/>
    <mergeCell ref="E88:G88"/>
    <mergeCell ref="E89:G89"/>
    <mergeCell ref="E91:G91"/>
    <mergeCell ref="C74:AE78"/>
    <mergeCell ref="B90:D90"/>
    <mergeCell ref="N90:O90"/>
    <mergeCell ref="P90:Q90"/>
    <mergeCell ref="R90:S90"/>
    <mergeCell ref="T90:AE90"/>
    <mergeCell ref="E90:G90"/>
    <mergeCell ref="H90:I90"/>
    <mergeCell ref="B83:D83"/>
    <mergeCell ref="B84:D84"/>
    <mergeCell ref="B85:D85"/>
    <mergeCell ref="B86:D86"/>
    <mergeCell ref="B73:E73"/>
    <mergeCell ref="F73:I73"/>
    <mergeCell ref="B80:D81"/>
    <mergeCell ref="B82:D82"/>
    <mergeCell ref="G23:K23"/>
    <mergeCell ref="B30:F37"/>
    <mergeCell ref="G30:AE30"/>
    <mergeCell ref="G31:AE33"/>
    <mergeCell ref="G34:AE34"/>
    <mergeCell ref="G35:AE37"/>
    <mergeCell ref="B38:F61"/>
    <mergeCell ref="G38:R38"/>
    <mergeCell ref="G41:I41"/>
    <mergeCell ref="J41:L41"/>
    <mergeCell ref="G42:I42"/>
    <mergeCell ref="J42:L42"/>
    <mergeCell ref="G43:I43"/>
    <mergeCell ref="J43:L43"/>
    <mergeCell ref="G44:I44"/>
    <mergeCell ref="J44:L44"/>
    <mergeCell ref="G45:I45"/>
    <mergeCell ref="J45:L45"/>
    <mergeCell ref="G46:I46"/>
    <mergeCell ref="J46:L46"/>
    <mergeCell ref="B4:F4"/>
    <mergeCell ref="G4:T4"/>
    <mergeCell ref="U4:X4"/>
    <mergeCell ref="Y4:AE4"/>
    <mergeCell ref="G12:AE12"/>
    <mergeCell ref="G13:AE17"/>
    <mergeCell ref="G18:R18"/>
    <mergeCell ref="S18:AE18"/>
    <mergeCell ref="G20:K20"/>
    <mergeCell ref="S20:W20"/>
    <mergeCell ref="G21:K21"/>
    <mergeCell ref="S21:W21"/>
    <mergeCell ref="G22:K22"/>
    <mergeCell ref="B5:F5"/>
    <mergeCell ref="G5:AE5"/>
    <mergeCell ref="B11:F11"/>
    <mergeCell ref="B6:F10"/>
    <mergeCell ref="G19:K19"/>
    <mergeCell ref="B12:F29"/>
    <mergeCell ref="S25:AE29"/>
    <mergeCell ref="S24:AE24"/>
    <mergeCell ref="G24:R24"/>
    <mergeCell ref="X21:AA21"/>
    <mergeCell ref="G11:AE11"/>
    <mergeCell ref="G6:AE10"/>
    <mergeCell ref="O23:R23"/>
    <mergeCell ref="S22:W23"/>
    <mergeCell ref="X20:AA20"/>
    <mergeCell ref="B62:F69"/>
    <mergeCell ref="G62:AE62"/>
    <mergeCell ref="G63:AE69"/>
    <mergeCell ref="G25:R29"/>
    <mergeCell ref="O49:P49"/>
    <mergeCell ref="Q49:R49"/>
    <mergeCell ref="G58:AE61"/>
    <mergeCell ref="B2:F2"/>
    <mergeCell ref="G2:J2"/>
    <mergeCell ref="K2:M2"/>
    <mergeCell ref="N2:P2"/>
    <mergeCell ref="Q2:T2"/>
    <mergeCell ref="U2:X2"/>
    <mergeCell ref="O39:R39"/>
    <mergeCell ref="Q46:R46"/>
    <mergeCell ref="O47:P47"/>
    <mergeCell ref="Q47:R47"/>
    <mergeCell ref="M41:N41"/>
    <mergeCell ref="M42:N42"/>
    <mergeCell ref="M43:N43"/>
    <mergeCell ref="M44:N44"/>
    <mergeCell ref="M45:N45"/>
    <mergeCell ref="G39:I40"/>
    <mergeCell ref="J39:L40"/>
    <mergeCell ref="O40:P40"/>
    <mergeCell ref="Q40:R40"/>
    <mergeCell ref="M46:N46"/>
    <mergeCell ref="M47:N47"/>
    <mergeCell ref="O41:P41"/>
    <mergeCell ref="Q41:R41"/>
    <mergeCell ref="Y2:AB2"/>
    <mergeCell ref="AC2:AE2"/>
    <mergeCell ref="L19:N19"/>
    <mergeCell ref="O19:R19"/>
    <mergeCell ref="X19:AA19"/>
    <mergeCell ref="AB19:AE19"/>
    <mergeCell ref="AB20:AE20"/>
    <mergeCell ref="AB21:AE21"/>
    <mergeCell ref="X22:AA23"/>
    <mergeCell ref="AB22:AE23"/>
    <mergeCell ref="S19:W19"/>
    <mergeCell ref="L20:N20"/>
    <mergeCell ref="L21:N21"/>
    <mergeCell ref="L22:N22"/>
    <mergeCell ref="L23:N23"/>
    <mergeCell ref="O20:R20"/>
    <mergeCell ref="O21:R21"/>
    <mergeCell ref="O22:R22"/>
    <mergeCell ref="O42:P42"/>
    <mergeCell ref="Q42:R42"/>
    <mergeCell ref="O43:P43"/>
    <mergeCell ref="Q43:R43"/>
    <mergeCell ref="O44:P44"/>
    <mergeCell ref="Q44:R44"/>
    <mergeCell ref="O45:P45"/>
    <mergeCell ref="Q45:R45"/>
    <mergeCell ref="O46:P46"/>
  </mergeCells>
  <phoneticPr fontId="2"/>
  <conditionalFormatting sqref="L20:R23">
    <cfRule type="cellIs" dxfId="9" priority="11" operator="lessThan">
      <formula>0</formula>
    </cfRule>
  </conditionalFormatting>
  <conditionalFormatting sqref="Q41:R41">
    <cfRule type="cellIs" dxfId="8" priority="10" operator="greaterThan">
      <formula>$O$41</formula>
    </cfRule>
  </conditionalFormatting>
  <conditionalFormatting sqref="Q42:R42">
    <cfRule type="cellIs" dxfId="7" priority="9" operator="greaterThan">
      <formula>$O$42</formula>
    </cfRule>
  </conditionalFormatting>
  <conditionalFormatting sqref="Q43:R43">
    <cfRule type="cellIs" dxfId="6" priority="8" operator="greaterThan">
      <formula>$O$43</formula>
    </cfRule>
  </conditionalFormatting>
  <conditionalFormatting sqref="Q44:R44">
    <cfRule type="cellIs" dxfId="5" priority="7" operator="greaterThan">
      <formula>$O$44</formula>
    </cfRule>
  </conditionalFormatting>
  <conditionalFormatting sqref="Q45:R45">
    <cfRule type="cellIs" dxfId="4" priority="6" operator="greaterThan">
      <formula>$O$45</formula>
    </cfRule>
  </conditionalFormatting>
  <conditionalFormatting sqref="Q46:R46">
    <cfRule type="cellIs" dxfId="3" priority="5" operator="greaterThan">
      <formula>$O$46</formula>
    </cfRule>
  </conditionalFormatting>
  <conditionalFormatting sqref="Q47:R47">
    <cfRule type="cellIs" dxfId="2" priority="4" operator="greaterThan">
      <formula>$O$47</formula>
    </cfRule>
  </conditionalFormatting>
  <conditionalFormatting sqref="Q48:R48">
    <cfRule type="cellIs" dxfId="1" priority="3" operator="greaterThan">
      <formula>$O$48</formula>
    </cfRule>
  </conditionalFormatting>
  <conditionalFormatting sqref="Q49:R50">
    <cfRule type="cellIs" dxfId="0" priority="1" operator="greaterThan">
      <formula>$O$50</formula>
    </cfRule>
  </conditionalFormatting>
  <dataValidations count="4">
    <dataValidation type="list" allowBlank="1" showInputMessage="1" showErrorMessage="1" error="灰色区域请勿填写" sqref="Y4:AE4" xr:uid="{00000000-0002-0000-0200-000000000000}">
      <formula1>"Needs-in(顧客起点),Seeds-in(課題認識)"</formula1>
    </dataValidation>
    <dataValidation type="list" allowBlank="1" showInputMessage="1" showErrorMessage="1" sqref="J82:K91" xr:uid="{00000000-0002-0000-0200-000001000000}">
      <formula1>"5,3,1"</formula1>
    </dataValidation>
    <dataValidation type="list" allowBlank="1" showInputMessage="1" showErrorMessage="1" sqref="L82:M91" xr:uid="{00000000-0002-0000-0200-000002000000}">
      <formula1>"1.4,1.2,1,0.6"</formula1>
    </dataValidation>
    <dataValidation type="textLength" operator="equal" allowBlank="1" showInputMessage="1" showErrorMessage="1" error="灰色区域请勿填写" sqref="G4:T4 L20:R23 R82:S91 X20:AA23 G5:AE10 J41:R51" xr:uid="{00000000-0002-0000-0200-000003000000}">
      <formula1>0</formula1>
    </dataValidation>
  </dataValidations>
  <printOptions horizontalCentered="1"/>
  <pageMargins left="0.47244094488188981" right="0.35433070866141736" top="0.55000000000000004" bottom="0.43" header="0.31496062992125984" footer="0.22"/>
  <pageSetup paperSize="9" scale="62" orientation="portrait" r:id="rId1"/>
  <headerFooter>
    <oddHeader>&amp;C&amp;"Meiryo UI,太字"&amp;14&amp;K000000&amp;A&amp;R&amp;F</oddHeader>
    <oddFooter>&amp;P / &amp;N ページ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2</vt:i4>
      </vt:variant>
    </vt:vector>
  </HeadingPairs>
  <TitlesOfParts>
    <vt:vector size="5" baseType="lpstr">
      <vt:lpstr>プロジェクト計画書</vt:lpstr>
      <vt:lpstr>プロジェクト管理表</vt:lpstr>
      <vt:lpstr>プロジェクト報告書</vt:lpstr>
      <vt:lpstr>プロジェクト管理表!Print_Area</vt:lpstr>
      <vt:lpstr>プロジェクト管理表!Print_Titles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nakayama</dc:creator>
  <cp:lastModifiedBy>Qingyuan Shen</cp:lastModifiedBy>
  <cp:lastPrinted>2018-04-19T06:51:18Z</cp:lastPrinted>
  <dcterms:created xsi:type="dcterms:W3CDTF">2018-03-16T05:33:11Z</dcterms:created>
  <dcterms:modified xsi:type="dcterms:W3CDTF">2025-11-14T03:46:59Z</dcterms:modified>
</cp:coreProperties>
</file>